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hartman\OneDrive - California Department of Water Resources\food webs\FoodwebModel\MattsRpath\"/>
    </mc:Choice>
  </mc:AlternateContent>
  <xr:revisionPtr revIDLastSave="0" documentId="13_ncr:1_{F248DE40-DD1D-4563-B2F2-F5B871348457}" xr6:coauthVersionLast="47" xr6:coauthVersionMax="47" xr10:uidLastSave="{00000000-0000-0000-0000-000000000000}"/>
  <bookViews>
    <workbookView xWindow="57480" yWindow="-120" windowWidth="29040" windowHeight="15720" activeTab="2" xr2:uid="{00E913D7-4E82-4E87-9828-59006E2DA130}"/>
  </bookViews>
  <sheets>
    <sheet name="Matt's origional" sheetId="1" r:id="rId1"/>
    <sheet name="testparams" sheetId="5" r:id="rId2"/>
    <sheet name="InsectPlaceholder" sheetId="7" r:id="rId3"/>
    <sheet name="dietmatrix" sheetId="6" r:id="rId4"/>
    <sheet name="New params" sheetId="2" r:id="rId5"/>
    <sheet name="primary producers" sheetId="8" r:id="rId6"/>
    <sheet name="StableIsotopDiets" sheetId="3" r:id="rId7"/>
    <sheet name="Schroeteretal2015" sheetId="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6" i="8" l="1"/>
  <c r="C17" i="8"/>
  <c r="C15" i="8"/>
  <c r="C14" i="8"/>
  <c r="C20" i="8"/>
  <c r="C11" i="8"/>
  <c r="C6" i="8"/>
  <c r="J17" i="6"/>
  <c r="G10" i="5"/>
  <c r="G3" i="5"/>
  <c r="K17" i="6"/>
  <c r="H17" i="6"/>
  <c r="I17" i="6"/>
  <c r="G17" i="6"/>
  <c r="F17" i="6"/>
  <c r="E17" i="6"/>
  <c r="E38" i="2"/>
  <c r="G7" i="5"/>
  <c r="G11" i="5"/>
  <c r="G9" i="5"/>
  <c r="G8" i="5"/>
  <c r="G2" i="5"/>
  <c r="X23" i="2"/>
  <c r="X34" i="2"/>
  <c r="K34" i="2"/>
  <c r="X33" i="2"/>
  <c r="K33" i="2"/>
  <c r="X32" i="2"/>
  <c r="K32" i="2"/>
  <c r="X31" i="2"/>
  <c r="K31" i="2"/>
  <c r="X29" i="2"/>
  <c r="X28" i="2"/>
  <c r="X26" i="2"/>
  <c r="X24" i="2"/>
  <c r="X22" i="2"/>
  <c r="X21" i="2"/>
  <c r="S19" i="2"/>
  <c r="T19" i="2" s="1"/>
  <c r="H19" i="2"/>
  <c r="S18" i="2"/>
  <c r="T18" i="2" s="1"/>
  <c r="H18" i="2"/>
  <c r="S17" i="2"/>
  <c r="T17" i="2" s="1"/>
  <c r="H17" i="2"/>
  <c r="S16" i="2"/>
  <c r="T16" i="2" s="1"/>
  <c r="H16" i="2"/>
  <c r="S15" i="2"/>
  <c r="T15" i="2" s="1"/>
  <c r="H15" i="2"/>
  <c r="X15" i="2" s="1"/>
  <c r="S14" i="2"/>
  <c r="T14" i="2" s="1"/>
  <c r="H14" i="2"/>
  <c r="S13" i="2"/>
  <c r="T13" i="2" s="1"/>
  <c r="H13" i="2"/>
  <c r="S12" i="2"/>
  <c r="T12" i="2" s="1"/>
  <c r="H12" i="2"/>
  <c r="S11" i="2"/>
  <c r="T11" i="2" s="1"/>
  <c r="H11" i="2"/>
  <c r="S10" i="2"/>
  <c r="T10" i="2" s="1"/>
  <c r="H10" i="2"/>
  <c r="S9" i="2"/>
  <c r="T9" i="2" s="1"/>
  <c r="H9" i="2"/>
  <c r="S8" i="2"/>
  <c r="T8" i="2" s="1"/>
  <c r="H8" i="2"/>
  <c r="X8" i="2" s="1"/>
  <c r="S7" i="2"/>
  <c r="T7" i="2" s="1"/>
  <c r="H7" i="2"/>
  <c r="S6" i="2"/>
  <c r="T6" i="2" s="1"/>
  <c r="H6" i="2"/>
  <c r="S5" i="2"/>
  <c r="T5" i="2" s="1"/>
  <c r="H5" i="2"/>
  <c r="S4" i="2"/>
  <c r="T4" i="2" s="1"/>
  <c r="H4" i="2"/>
  <c r="S3" i="2"/>
  <c r="T3" i="2" s="1"/>
  <c r="H3" i="2"/>
  <c r="S2" i="2"/>
  <c r="T2" i="2" s="1"/>
  <c r="H2" i="2"/>
  <c r="H42" i="2" s="1"/>
  <c r="X29" i="1"/>
  <c r="K29" i="1"/>
  <c r="X28" i="1"/>
  <c r="K28" i="1"/>
  <c r="X27" i="1"/>
  <c r="K27" i="1"/>
  <c r="X26" i="1"/>
  <c r="K26" i="1"/>
  <c r="X25" i="1"/>
  <c r="X24" i="1"/>
  <c r="X23" i="1"/>
  <c r="X22" i="1"/>
  <c r="X21" i="1"/>
  <c r="X20" i="1"/>
  <c r="S19" i="1"/>
  <c r="T19" i="1" s="1"/>
  <c r="H19" i="1"/>
  <c r="X19" i="1" s="1"/>
  <c r="T18" i="1"/>
  <c r="S18" i="1"/>
  <c r="H18" i="1"/>
  <c r="X18" i="1" s="1"/>
  <c r="S17" i="1"/>
  <c r="T17" i="1" s="1"/>
  <c r="H17" i="1"/>
  <c r="X17" i="1" s="1"/>
  <c r="T16" i="1"/>
  <c r="S16" i="1"/>
  <c r="H16" i="1"/>
  <c r="X16" i="1" s="1"/>
  <c r="S15" i="1"/>
  <c r="T15" i="1" s="1"/>
  <c r="H15" i="1"/>
  <c r="X15" i="1" s="1"/>
  <c r="S14" i="1"/>
  <c r="T14" i="1" s="1"/>
  <c r="H14" i="1"/>
  <c r="X14" i="1" s="1"/>
  <c r="S13" i="1"/>
  <c r="T13" i="1" s="1"/>
  <c r="H13" i="1"/>
  <c r="X13" i="1" s="1"/>
  <c r="S12" i="1"/>
  <c r="T12" i="1" s="1"/>
  <c r="X12" i="1" s="1"/>
  <c r="H12" i="1"/>
  <c r="S11" i="1"/>
  <c r="T11" i="1" s="1"/>
  <c r="H11" i="1"/>
  <c r="X11" i="1" s="1"/>
  <c r="S10" i="1"/>
  <c r="T10" i="1" s="1"/>
  <c r="H10" i="1"/>
  <c r="X10" i="1" s="1"/>
  <c r="S9" i="1"/>
  <c r="T9" i="1" s="1"/>
  <c r="H9" i="1"/>
  <c r="X9" i="1" s="1"/>
  <c r="S8" i="1"/>
  <c r="T8" i="1" s="1"/>
  <c r="H8" i="1"/>
  <c r="X8" i="1" s="1"/>
  <c r="S7" i="1"/>
  <c r="T7" i="1" s="1"/>
  <c r="H7" i="1"/>
  <c r="X7" i="1" s="1"/>
  <c r="S6" i="1"/>
  <c r="T6" i="1" s="1"/>
  <c r="H6" i="1"/>
  <c r="X6" i="1" s="1"/>
  <c r="S5" i="1"/>
  <c r="T5" i="1" s="1"/>
  <c r="H5" i="1"/>
  <c r="X5" i="1" s="1"/>
  <c r="S4" i="1"/>
  <c r="T4" i="1" s="1"/>
  <c r="X4" i="1" s="1"/>
  <c r="H4" i="1"/>
  <c r="S3" i="1"/>
  <c r="T3" i="1" s="1"/>
  <c r="H3" i="1"/>
  <c r="S2" i="1"/>
  <c r="T2" i="1" s="1"/>
  <c r="H2" i="1"/>
  <c r="X2" i="1" s="1"/>
  <c r="X14" i="2" l="1"/>
  <c r="X16" i="2"/>
  <c r="X17" i="2"/>
  <c r="X12" i="2"/>
  <c r="X3" i="2"/>
  <c r="X9" i="2"/>
  <c r="X11" i="2"/>
  <c r="X18" i="2"/>
  <c r="X5" i="2"/>
  <c r="X19" i="2"/>
  <c r="X10" i="2"/>
  <c r="X6" i="2"/>
  <c r="X4" i="2"/>
  <c r="X7" i="2"/>
  <c r="X13" i="2"/>
  <c r="X2" i="2"/>
  <c r="X3" i="1"/>
  <c r="H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tc={A507E536-2BC4-4EAF-A792-DFC81F6F1827}</author>
    <author>tc={664C75EC-4C64-470E-B6FE-FE2281E5A19E}</author>
    <author>tc={E00AACD3-4CB0-40DF-B23A-ABC24CC26D16}</author>
    <author>tc={248BE900-3C3F-42E1-9E40-8A6021045AC0}</author>
    <author>tc={AD2F7B3C-AE6E-4E15-91FB-615A2CE499A5}</author>
    <author>tc={C6142A27-B033-4671-A275-F0E29A981BEF}</author>
    <author>tc={D12E4B3A-7CDB-4143-ADC1-ABA0711A9E70}</author>
    <author>tc={A851CDFE-4FF7-4C48-BC50-BE0F0C2911C1}</author>
    <author>tc={8F26BCA7-52B7-41A9-BE45-DD5E2596F1C8}</author>
    <author>tc={A661F776-1430-49C8-8ABC-D6FF5E8D2A49}</author>
    <author>tc={B17998E3-D980-4686-8700-135C409FC874}</author>
    <author>tc={10613D4C-73B2-4033-9BB1-5DF032A3DCF5}</author>
    <author>tc={35D3F6D8-A84D-46A4-A859-F8D12C5EE4F1}</author>
  </authors>
  <commentList>
    <comment ref="H1" authorId="0" shapeId="0" xr:uid="{A507E536-2BC4-4EAF-A792-DFC81F6F1827}">
      <text>
        <t>[Threaded comment]
Your version of Excel allows you to read this threaded comment; however, any edits to it will get removed if the file is opened in a newer version of Excel. Learn more: https://go.microsoft.com/fwlink/?linkid=870924
Comment:
    Production/Biomass</t>
      </text>
    </comment>
    <comment ref="U1" authorId="1" shapeId="0" xr:uid="{664C75EC-4C64-470E-B6FE-FE2281E5A19E}">
      <text>
        <t>[Threaded comment]
Your version of Excel allows you to read this threaded comment; however, any edits to it will get removed if the file is opened in a newer version of Excel. Learn more: https://go.microsoft.com/fwlink/?linkid=870924
Comment:
    Consumption/biomass</t>
      </text>
    </comment>
    <comment ref="N5" authorId="2" shapeId="0" xr:uid="{E00AACD3-4CB0-40DF-B23A-ABC24CC26D16}">
      <text>
        <t>[Threaded comment]
Your version of Excel allows you to read this threaded comment; however, any edits to it will get removed if the file is opened in a newer version of Excel. Learn more: https://go.microsoft.com/fwlink/?linkid=870924
Comment:
    This is from Atlantic Silverside</t>
      </text>
    </comment>
    <comment ref="N6" authorId="3" shapeId="0" xr:uid="{248BE900-3C3F-42E1-9E40-8A6021045AC0}">
      <text>
        <t>[Threaded comment]
Your version of Excel allows you to read this threaded comment; however, any edits to it will get removed if the file is opened in a newer version of Excel. Learn more: https://go.microsoft.com/fwlink/?linkid=870924
Comment:
    Gizzard shad</t>
      </text>
    </comment>
    <comment ref="N8" authorId="4" shapeId="0" xr:uid="{AD2F7B3C-AE6E-4E15-91FB-615A2CE499A5}">
      <text>
        <t>[Threaded comment]
Your version of Excel allows you to read this threaded comment; however, any edits to it will get removed if the file is opened in a newer version of Excel. Learn more: https://go.microsoft.com/fwlink/?linkid=870924
Comment:
    Use threadfin shad</t>
      </text>
    </comment>
    <comment ref="M15" authorId="5" shapeId="0" xr:uid="{C6142A27-B033-4671-A275-F0E29A981BEF}">
      <text>
        <t>[Threaded comment]
Your version of Excel allows you to read this threaded comment; however, any edits to it will get removed if the file is opened in a newer version of Excel. Learn more: https://go.microsoft.com/fwlink/?linkid=870924
Comment:
    Used C. asper</t>
      </text>
    </comment>
    <comment ref="N15" authorId="6" shapeId="0" xr:uid="{D12E4B3A-7CDB-4143-ADC1-ABA0711A9E70}">
      <text>
        <t>[Threaded comment]
Your version of Excel allows you to read this threaded comment; however, any edits to it will get removed if the file is opened in a newer version of Excel. Learn more: https://go.microsoft.com/fwlink/?linkid=870924
Comment:
    Used yellowfin goby</t>
      </text>
    </comment>
    <comment ref="N16" authorId="7" shapeId="0" xr:uid="{A851CDFE-4FF7-4C48-BC50-BE0F0C2911C1}">
      <text>
        <t>[Threaded comment]
Your version of Excel allows you to read this threaded comment; however, any edits to it will get removed if the file is opened in a newer version of Excel. Learn more: https://go.microsoft.com/fwlink/?linkid=870924
Comment:
    used bluegill</t>
      </text>
    </comment>
    <comment ref="N17" authorId="8" shapeId="0" xr:uid="{8F26BCA7-52B7-41A9-BE45-DD5E2596F1C8}">
      <text>
        <t>[Threaded comment]
Your version of Excel allows you to read this threaded comment; however, any edits to it will get removed if the file is opened in a newer version of Excel. Learn more: https://go.microsoft.com/fwlink/?linkid=870924
Comment:
    Used goldfish</t>
      </text>
    </comment>
    <comment ref="N18" authorId="9" shapeId="0" xr:uid="{A661F776-1430-49C8-8ABC-D6FF5E8D2A49}">
      <text>
        <t>[Threaded comment]
Your version of Excel allows you to read this threaded comment; however, any edits to it will get removed if the file is opened in a newer version of Excel. Learn more: https://go.microsoft.com/fwlink/?linkid=870924
Comment:
    used Tui Chub</t>
      </text>
    </comment>
    <comment ref="N19" authorId="10" shapeId="0" xr:uid="{B17998E3-D980-4686-8700-135C409FC874}">
      <text>
        <t>[Threaded comment]
Your version of Excel allows you to read this threaded comment; however, any edits to it will get removed if the file is opened in a newer version of Excel. Learn more: https://go.microsoft.com/fwlink/?linkid=870924
Comment:
    Used Northern Pikeminnow</t>
      </text>
    </comment>
    <comment ref="E22" authorId="11" shapeId="0" xr:uid="{10613D4C-73B2-4033-9BB1-5DF032A3DCF5}">
      <text>
        <t>[Threaded comment]
Your version of Excel allows you to read this threaded comment; however, any edits to it will get removed if the file is opened in a newer version of Excel. Learn more: https://go.microsoft.com/fwlink/?linkid=870924
Comment:
    0.400 based on Zierdt Smith. Used calcs from Young et al 2018</t>
      </text>
    </comment>
    <comment ref="E24" authorId="12" shapeId="0" xr:uid="{35D3F6D8-A84D-46A4-A859-F8D12C5EE4F1}">
      <text>
        <t>[Threaded comment]
Your version of Excel allows you to read this threaded comment; however, any edits to it will get removed if the file is opened in a newer version of Excel. Learn more: https://go.microsoft.com/fwlink/?linkid=870924
Comment:
    804.3 obtained via Zierdt Smith, used values from Young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tc={2253C964-8575-457F-84DF-2AEB9F95108B}</author>
  </authors>
  <commentList>
    <comment ref="C8" authorId="0" shapeId="0" xr:uid="{2253C964-8575-457F-84DF-2AEB9F95108B}">
      <text>
        <t>[Threaded comment]
Your version of Excel allows you to read this threaded comment; however, any edits to it will get removed if the file is opened in a newer version of Excel. Learn more: https://go.microsoft.com/fwlink/?linkid=870924
Comment:
    0.400 based on Zierdt Smith. Used calcs from Young et al 2018</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tc={04240FD7-3159-44A0-9F39-44A4916A7AC7}</author>
    <author>tc={578F8387-4BAD-482C-B1E9-88C2D9EA758C}</author>
    <author>tc={0F7BB635-BF16-4204-AAE2-648861855766}</author>
    <author>tc={DC82C8C8-4682-43F0-AB4D-2849B07F693C}</author>
    <author>tc={05C5EC41-EA7E-41DC-8CA6-BA94E1E14A2D}</author>
    <author>tc={CABDFB46-5086-487C-8C95-3C8EE1C95472}</author>
    <author>tc={AF38E409-BFF4-49B2-9F95-42FDB6837CDD}</author>
    <author>tc={FB5D8AF3-4221-4EED-92E2-5677D9C3C7DA}</author>
    <author>tc={0250F242-355A-401D-8DE3-3B7F16A2AE3F}</author>
    <author>tc={9AEBFED1-60BB-4D04-955A-6752BDCFF3AF}</author>
    <author>tc={8F7F7AD6-A22E-4C0F-A78D-1C99DA610437}</author>
    <author>tc={C4245009-28C1-4746-A41D-7FB7959D4E4A}</author>
    <author>tc={517BF853-1660-4A15-A438-AE7A5DCECBBE}</author>
  </authors>
  <commentList>
    <comment ref="H1" authorId="0" shapeId="0" xr:uid="{04240FD7-3159-44A0-9F39-44A4916A7AC7}">
      <text>
        <t>[Threaded comment]
Your version of Excel allows you to read this threaded comment; however, any edits to it will get removed if the file is opened in a newer version of Excel. Learn more: https://go.microsoft.com/fwlink/?linkid=870924
Comment:
    Production/Biomass</t>
      </text>
    </comment>
    <comment ref="U1" authorId="1" shapeId="0" xr:uid="{578F8387-4BAD-482C-B1E9-88C2D9EA758C}">
      <text>
        <t>[Threaded comment]
Your version of Excel allows you to read this threaded comment; however, any edits to it will get removed if the file is opened in a newer version of Excel. Learn more: https://go.microsoft.com/fwlink/?linkid=870924
Comment:
    Consumption/biomass</t>
      </text>
    </comment>
    <comment ref="N5" authorId="2" shapeId="0" xr:uid="{0F7BB635-BF16-4204-AAE2-648861855766}">
      <text>
        <t>[Threaded comment]
Your version of Excel allows you to read this threaded comment; however, any edits to it will get removed if the file is opened in a newer version of Excel. Learn more: https://go.microsoft.com/fwlink/?linkid=870924
Comment:
    This is from Atlantic Silverside</t>
      </text>
    </comment>
    <comment ref="N6" authorId="3" shapeId="0" xr:uid="{DC82C8C8-4682-43F0-AB4D-2849B07F693C}">
      <text>
        <t>[Threaded comment]
Your version of Excel allows you to read this threaded comment; however, any edits to it will get removed if the file is opened in a newer version of Excel. Learn more: https://go.microsoft.com/fwlink/?linkid=870924
Comment:
    Gizzard shad</t>
      </text>
    </comment>
    <comment ref="N8" authorId="4" shapeId="0" xr:uid="{05C5EC41-EA7E-41DC-8CA6-BA94E1E14A2D}">
      <text>
        <t>[Threaded comment]
Your version of Excel allows you to read this threaded comment; however, any edits to it will get removed if the file is opened in a newer version of Excel. Learn more: https://go.microsoft.com/fwlink/?linkid=870924
Comment:
    Use threadfin shad</t>
      </text>
    </comment>
    <comment ref="M15" authorId="5" shapeId="0" xr:uid="{CABDFB46-5086-487C-8C95-3C8EE1C95472}">
      <text>
        <t>[Threaded comment]
Your version of Excel allows you to read this threaded comment; however, any edits to it will get removed if the file is opened in a newer version of Excel. Learn more: https://go.microsoft.com/fwlink/?linkid=870924
Comment:
    Used C. asper</t>
      </text>
    </comment>
    <comment ref="N15" authorId="6" shapeId="0" xr:uid="{AF38E409-BFF4-49B2-9F95-42FDB6837CDD}">
      <text>
        <t>[Threaded comment]
Your version of Excel allows you to read this threaded comment; however, any edits to it will get removed if the file is opened in a newer version of Excel. Learn more: https://go.microsoft.com/fwlink/?linkid=870924
Comment:
    Used yellowfin goby</t>
      </text>
    </comment>
    <comment ref="N16" authorId="7" shapeId="0" xr:uid="{FB5D8AF3-4221-4EED-92E2-5677D9C3C7DA}">
      <text>
        <t>[Threaded comment]
Your version of Excel allows you to read this threaded comment; however, any edits to it will get removed if the file is opened in a newer version of Excel. Learn more: https://go.microsoft.com/fwlink/?linkid=870924
Comment:
    used bluegill</t>
      </text>
    </comment>
    <comment ref="N17" authorId="8" shapeId="0" xr:uid="{0250F242-355A-401D-8DE3-3B7F16A2AE3F}">
      <text>
        <t>[Threaded comment]
Your version of Excel allows you to read this threaded comment; however, any edits to it will get removed if the file is opened in a newer version of Excel. Learn more: https://go.microsoft.com/fwlink/?linkid=870924
Comment:
    Used goldfish</t>
      </text>
    </comment>
    <comment ref="N18" authorId="9" shapeId="0" xr:uid="{9AEBFED1-60BB-4D04-955A-6752BDCFF3AF}">
      <text>
        <t>[Threaded comment]
Your version of Excel allows you to read this threaded comment; however, any edits to it will get removed if the file is opened in a newer version of Excel. Learn more: https://go.microsoft.com/fwlink/?linkid=870924
Comment:
    used Tui Chub</t>
      </text>
    </comment>
    <comment ref="N19" authorId="10" shapeId="0" xr:uid="{8F7F7AD6-A22E-4C0F-A78D-1C99DA610437}">
      <text>
        <t>[Threaded comment]
Your version of Excel allows you to read this threaded comment; however, any edits to it will get removed if the file is opened in a newer version of Excel. Learn more: https://go.microsoft.com/fwlink/?linkid=870924
Comment:
    Used Northern Pikeminnow</t>
      </text>
    </comment>
    <comment ref="E24" authorId="11" shapeId="0" xr:uid="{C4245009-28C1-4746-A41D-7FB7959D4E4A}">
      <text>
        <t>[Threaded comment]
Your version of Excel allows you to read this threaded comment; however, any edits to it will get removed if the file is opened in a newer version of Excel. Learn more: https://go.microsoft.com/fwlink/?linkid=870924
Comment:
    0.400 based on Zierdt Smith. Used calcs from Young et al 2018</t>
      </text>
    </comment>
    <comment ref="E28" authorId="12" shapeId="0" xr:uid="{517BF853-1660-4A15-A438-AE7A5DCECBBE}">
      <text>
        <t>[Threaded comment]
Your version of Excel allows you to read this threaded comment; however, any edits to it will get removed if the file is opened in a newer version of Excel. Learn more: https://go.microsoft.com/fwlink/?linkid=870924
Comment:
    804.3 obtained via Zierdt Smith, used values from Young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tc={0EBA0974-1903-4504-A4F0-A966FA96781C}</author>
  </authors>
  <commentList>
    <comment ref="B11" authorId="0" shapeId="0" xr:uid="{0EBA0974-1903-4504-A4F0-A966FA96781C}">
      <text>
        <t>[Threaded comment]
Your version of Excel allows you to read this threaded comment; however, any edits to it will get removed if the file is opened in a newer version of Excel. Learn more: https://go.microsoft.com/fwlink/?linkid=870924
Comment:
    Do we want predatory insects from Young et al?</t>
      </text>
    </comment>
  </commentList>
</comments>
</file>

<file path=xl/sharedStrings.xml><?xml version="1.0" encoding="utf-8"?>
<sst xmlns="http://schemas.openxmlformats.org/spreadsheetml/2006/main" count="712" uniqueCount="193">
  <si>
    <t>Site</t>
  </si>
  <si>
    <t>Category</t>
  </si>
  <si>
    <t>Functional Group</t>
  </si>
  <si>
    <t>Group Notes</t>
  </si>
  <si>
    <t>Biomass (kg/km2)</t>
  </si>
  <si>
    <t>Parameter Source</t>
  </si>
  <si>
    <t>EE</t>
  </si>
  <si>
    <t>P/B (per year)</t>
  </si>
  <si>
    <t>Notes</t>
  </si>
  <si>
    <t>P/B Equation</t>
  </si>
  <si>
    <t>Winf</t>
  </si>
  <si>
    <t>Linf</t>
  </si>
  <si>
    <t>K</t>
  </si>
  <si>
    <t>T</t>
  </si>
  <si>
    <t>A</t>
  </si>
  <si>
    <t>h</t>
  </si>
  <si>
    <t>d</t>
  </si>
  <si>
    <t>log(Q/B_calc)</t>
  </si>
  <si>
    <t>QB_calc</t>
  </si>
  <si>
    <t>Q/B (per year)</t>
  </si>
  <si>
    <t>Q/B equation</t>
  </si>
  <si>
    <t>P/Q</t>
  </si>
  <si>
    <t>NOTES</t>
  </si>
  <si>
    <t>LICB</t>
  </si>
  <si>
    <t>Fish</t>
  </si>
  <si>
    <t>Largemouth Bass 0</t>
  </si>
  <si>
    <t>doi.org/10.5066/P9F0ZASV</t>
  </si>
  <si>
    <t>Based on Pauly 1980, and notes from "Ecopath model of the southern North Sea", assuming no fishing mortality</t>
  </si>
  <si>
    <t>𝑙𝑜𝑔 𝑀 = −0.0066 − 0.279 𝑙𝑜𝑔 𝐿𝑖𝑛𝑓 + 0.6543 𝑙𝑜𝑔 𝐾 + 0.4634 𝑙𝑜𝑔 T</t>
  </si>
  <si>
    <t>Largemouth Bass 1+</t>
  </si>
  <si>
    <t>Lepomis sp.</t>
  </si>
  <si>
    <t>Includes Redear Sunfish, Bluegill, Warmouth</t>
  </si>
  <si>
    <t>MS Silverside</t>
  </si>
  <si>
    <t>Threadfin Shad</t>
  </si>
  <si>
    <t>Cyprinodontiformes</t>
  </si>
  <si>
    <t>Includes W. Mosquitofish and Rainwater Killifish</t>
  </si>
  <si>
    <t>Golden Shiner</t>
  </si>
  <si>
    <t>Crappie</t>
  </si>
  <si>
    <t>Includes Black and White Crappie</t>
  </si>
  <si>
    <t>Goldfish/Carp</t>
  </si>
  <si>
    <t>Includes Common Carp and Goldfish</t>
  </si>
  <si>
    <t>Catfish</t>
  </si>
  <si>
    <t>Includes White Catfish, Black Bullhead, Brown Bullhead, Channel Catfish</t>
  </si>
  <si>
    <t>used White catfish</t>
  </si>
  <si>
    <t>Striped Bass 0</t>
  </si>
  <si>
    <t>Striped Bass 1-2</t>
  </si>
  <si>
    <t>Striped Bass 3+</t>
  </si>
  <si>
    <t>Demersal</t>
  </si>
  <si>
    <t>Includes Yellowfin Goby, Prickly Sculpin, Tridentiger sp., Bigscale Logperch</t>
  </si>
  <si>
    <t>used C. asper</t>
  </si>
  <si>
    <t>Tule Perch</t>
  </si>
  <si>
    <t>Sacramento Sucker</t>
  </si>
  <si>
    <t>Hitch</t>
  </si>
  <si>
    <t>Sacramento Pikeminnow</t>
  </si>
  <si>
    <t>Macroinvertebrates</t>
  </si>
  <si>
    <t>Corbicula</t>
  </si>
  <si>
    <t>doi.org/10.5066/P9JJOL3W</t>
  </si>
  <si>
    <t>Bauer</t>
  </si>
  <si>
    <t>Value is in dry weight, convert to wet weight</t>
  </si>
  <si>
    <t>Crayfish</t>
  </si>
  <si>
    <t>Gammaroidea</t>
  </si>
  <si>
    <t>0.400 from doi.org/10.5066/P9JJOL3W</t>
  </si>
  <si>
    <t>Corophiidae</t>
  </si>
  <si>
    <t>11.471 from doi.org/10.5066/P9JJOL3W</t>
  </si>
  <si>
    <t>Insects</t>
  </si>
  <si>
    <t>804.300 represents Dipterans from  zoop tows</t>
  </si>
  <si>
    <t>doi.org/10.5066/P9217ML2</t>
  </si>
  <si>
    <t>Shrimp</t>
  </si>
  <si>
    <t>Zooplankton</t>
  </si>
  <si>
    <t>Cladocera</t>
  </si>
  <si>
    <t>estimated growth from Mullersolger 2002</t>
  </si>
  <si>
    <t>Calanoida</t>
  </si>
  <si>
    <t>Bauer said 25 (Kimmerer 2018 and Gearty 2021 come to 52)</t>
  </si>
  <si>
    <t>growth rate of zoop from Kimmerer 2018 = 0.23 C/d. T convert from C to biovolume log BV = −1.429 + 0.808 log C,</t>
  </si>
  <si>
    <t>Cyclopoida</t>
  </si>
  <si>
    <t>Harpacticoida</t>
  </si>
  <si>
    <t>estimated growth from Gould &amp; Kimmerer</t>
  </si>
  <si>
    <t>Producer</t>
  </si>
  <si>
    <t>SAV</t>
  </si>
  <si>
    <t>from Conrad et al 2016</t>
  </si>
  <si>
    <t>Value is in dry weight, 13,102 is wet weight</t>
  </si>
  <si>
    <t>Phytoplankton</t>
  </si>
  <si>
    <t>NWIS - 382006121401601</t>
  </si>
  <si>
    <t>Epibenthic algae</t>
  </si>
  <si>
    <t>10.1016/j.scitotenv.2021.147097</t>
  </si>
  <si>
    <t>Emergent vegetation</t>
  </si>
  <si>
    <t>Floating vegetation</t>
  </si>
  <si>
    <t>Detritus</t>
  </si>
  <si>
    <t>DOC-POC</t>
  </si>
  <si>
    <t>CODE</t>
  </si>
  <si>
    <t>7.2-8.6</t>
  </si>
  <si>
    <t>Albright and Armstrong 1981 - these values oare April=september, not the whole year</t>
  </si>
  <si>
    <t>Chironomid</t>
  </si>
  <si>
    <t>Lit values range from 1.5 yo 263</t>
  </si>
  <si>
    <t>Sousa et al 2008</t>
  </si>
  <si>
    <t>Bosmina</t>
  </si>
  <si>
    <t>Group</t>
  </si>
  <si>
    <t>Taxa</t>
  </si>
  <si>
    <t>PercentPhyto</t>
  </si>
  <si>
    <t>Other Insects</t>
  </si>
  <si>
    <t>Study</t>
  </si>
  <si>
    <t>PercentBenthicAlgae</t>
  </si>
  <si>
    <t>PercentSAV</t>
  </si>
  <si>
    <t>PercentEAV</t>
  </si>
  <si>
    <t>PercentFillamentousAlgae</t>
  </si>
  <si>
    <t>Isotope Sources: Young et al. 2021, Pagliaro et al. 2025, Shroeter et al. 2016</t>
  </si>
  <si>
    <t xml:space="preserve">Other sources: Harfman et al, Holmes et al. </t>
  </si>
  <si>
    <t>Sinocalanus</t>
  </si>
  <si>
    <t>Pseudodiaptomus</t>
  </si>
  <si>
    <t>Young et al. 2021</t>
  </si>
  <si>
    <t>Palaemon</t>
  </si>
  <si>
    <t>exoPalaemon</t>
  </si>
  <si>
    <t>Region</t>
  </si>
  <si>
    <t>Cache</t>
  </si>
  <si>
    <t>Gammarus</t>
  </si>
  <si>
    <t>Hyalella</t>
  </si>
  <si>
    <t>Americorophium spinicorne</t>
  </si>
  <si>
    <t>Physidae</t>
  </si>
  <si>
    <t>I'm not sure we need snails, but just in case</t>
  </si>
  <si>
    <t>Phytobenthos</t>
  </si>
  <si>
    <t>Terr/Plankton</t>
  </si>
  <si>
    <t>macoma</t>
  </si>
  <si>
    <t>SB</t>
  </si>
  <si>
    <t>SCP</t>
  </si>
  <si>
    <t>YFG</t>
  </si>
  <si>
    <t>A. spin</t>
  </si>
  <si>
    <t>EAV</t>
  </si>
  <si>
    <t>EAVsd</t>
  </si>
  <si>
    <t>Phytobenthossd</t>
  </si>
  <si>
    <t>SAVsd</t>
  </si>
  <si>
    <t>TerPlanksd</t>
  </si>
  <si>
    <t>Gammarus daiberi</t>
  </si>
  <si>
    <t>H. longirostris</t>
  </si>
  <si>
    <t>Neomysis kadiakensis</t>
  </si>
  <si>
    <t>Bryozoa</t>
  </si>
  <si>
    <t>N = 21, unspecified species</t>
  </si>
  <si>
    <t>Copepods</t>
  </si>
  <si>
    <t>Maeotias</t>
  </si>
  <si>
    <t>Crangon franciscorum</t>
  </si>
  <si>
    <t>Marenzellaria viridis (polycheate)</t>
  </si>
  <si>
    <t>Laonome sp. (polycheate)</t>
  </si>
  <si>
    <t>Synidotea laticauda (isopod)</t>
  </si>
  <si>
    <t>Palaemon modestus</t>
  </si>
  <si>
    <t>Potamocorbula</t>
  </si>
  <si>
    <t>Palaemon macrodactyls</t>
  </si>
  <si>
    <t>Oligochaete</t>
  </si>
  <si>
    <t>Neanthes limnicola (polychae)</t>
  </si>
  <si>
    <t>Copepoda</t>
  </si>
  <si>
    <t>Schroeter te al 2015</t>
  </si>
  <si>
    <t>Suisun</t>
  </si>
  <si>
    <t>Schroeter combines terrestrial and plankton</t>
  </si>
  <si>
    <t>crangon</t>
  </si>
  <si>
    <t>miller and fugi</t>
  </si>
  <si>
    <t>miller and fuji 2010. mid-season standing live biomass represented about half of the annual primary production. PP ranged from 1.3 to 3.2 kg of carbon per square meter annually. EAV averaged 1.6 kg carbon (AFDW) per m2</t>
  </si>
  <si>
    <t xml:space="preserve">Emily Howe has a bunch of unpublished data from Suisun Marsh and Browns Island. Matt has a report. </t>
  </si>
  <si>
    <t>Type</t>
  </si>
  <si>
    <t>NA</t>
  </si>
  <si>
    <t>Biomass</t>
  </si>
  <si>
    <t>PB</t>
  </si>
  <si>
    <t>PQ</t>
  </si>
  <si>
    <t>BioAcc</t>
  </si>
  <si>
    <t>Unassim</t>
  </si>
  <si>
    <t>DetInput</t>
  </si>
  <si>
    <t>Fishing</t>
  </si>
  <si>
    <t>Fishing.disc</t>
  </si>
  <si>
    <t>PredatoryCopepods</t>
  </si>
  <si>
    <t>OtherCopepods</t>
  </si>
  <si>
    <t>Limnoithona</t>
  </si>
  <si>
    <t>FAV</t>
  </si>
  <si>
    <t>Confluence</t>
  </si>
  <si>
    <t>Chironomids</t>
  </si>
  <si>
    <t>Import</t>
  </si>
  <si>
    <t>Habitat</t>
  </si>
  <si>
    <t>Open Water</t>
  </si>
  <si>
    <t>notes</t>
  </si>
  <si>
    <t>miller and fiji</t>
  </si>
  <si>
    <t>Matt's number</t>
  </si>
  <si>
    <t>Conrad et al 2016, median 250 g/m4 dry mass. .25kg/m2 * 1000ha/m2*10 gWW/gDW. Conrad cite Santos 2011 for DW;WW conversion but I couldn't find it</t>
  </si>
  <si>
    <t>Marineau et al 40gDW/.25m2 quadrat. 0.04kg*4*10000*10</t>
  </si>
  <si>
    <t>just making this up</t>
  </si>
  <si>
    <t>This is producitivty values from Cloern et al, not sure how it really applies to standing biomass</t>
  </si>
  <si>
    <t>This is producitivty values from Cloern et al, not sure how it really applies to standing biomass. 44 g/m2/year</t>
  </si>
  <si>
    <t>Gammarids</t>
  </si>
  <si>
    <t>Corophiids</t>
  </si>
  <si>
    <t>Gammaroids</t>
  </si>
  <si>
    <t>Decker/Webb</t>
  </si>
  <si>
    <t>Grizzly Bay</t>
  </si>
  <si>
    <t>Cache Slough</t>
  </si>
  <si>
    <t>Inside</t>
  </si>
  <si>
    <t>Outside</t>
  </si>
  <si>
    <t>Damselflies</t>
  </si>
  <si>
    <t>Damselfliess</t>
  </si>
  <si>
    <t>InsideOutside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</si>
</sst>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333333"/>
      <name val="Arial"/>
      <family val="2"/>
    </font>
    <font>
      <sz val="9"/>
      <color rgb="FF000000"/>
      <name val="Verdana"/>
      <family val="2"/>
    </font>
    <font>
      <sz val="12"/>
      <color theme="1"/>
      <name val="Aptos Narrow"/>
      <family val="2"/>
      <scheme val="minor"/>
    </font>
    <font>
      <sz val="7"/>
      <color rgb="FF242424"/>
      <name val="Aptos Narrow"/>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xf>
    <xf numFmtId="2" fontId="1" fillId="0" borderId="0" xfId="0" applyNumberFormat="1" applyFont="1" applyAlignment="1">
      <alignment horizontal="center"/>
    </xf>
    <xf numFmtId="0" fontId="0" fillId="0" borderId="0" xfId="0" applyAlignment="1">
      <alignment horizontal="center"/>
    </xf>
    <xf numFmtId="0" fontId="2" fillId="0" borderId="0" xfId="0" applyFont="1" applyAlignment="1">
      <alignment horizontal="center"/>
    </xf>
    <xf numFmtId="2" fontId="0" fillId="0" borderId="0" xfId="0" applyNumberFormat="1" applyAlignment="1">
      <alignment horizontal="center"/>
    </xf>
    <xf numFmtId="0" fontId="0" fillId="2" borderId="0" xfId="0" applyFill="1" applyAlignment="1">
      <alignment horizontal="center"/>
    </xf>
    <xf numFmtId="0" fontId="0" fillId="3" borderId="0" xfId="0" applyFill="1" applyAlignment="1">
      <alignment horizontal="center"/>
    </xf>
    <xf numFmtId="0" fontId="3" fillId="3" borderId="0" xfId="0" applyFont="1" applyFill="1"/>
    <xf numFmtId="0" fontId="4" fillId="0" borderId="0" xfId="0" applyFont="1" applyAlignment="1">
      <alignment horizontal="center"/>
    </xf>
    <xf numFmtId="0" fontId="0" fillId="4" borderId="0" xfId="0" applyFill="1" applyAlignment="1">
      <alignment horizontal="center"/>
    </xf>
    <xf numFmtId="0" fontId="0" fillId="5" borderId="0" xfId="0" applyFill="1" applyAlignment="1">
      <alignment horizontal="center"/>
    </xf>
    <xf numFmtId="2" fontId="0" fillId="0" borderId="0" xfId="0" applyNumberFormat="1" applyAlignment="1">
      <alignment wrapText="1"/>
    </xf>
    <xf numFmtId="0" fontId="5" fillId="0" borderId="0" xfId="0" applyFont="1"/>
    <xf numFmtId="0" fontId="0" fillId="4"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333374</xdr:colOff>
      <xdr:row>50</xdr:row>
      <xdr:rowOff>0</xdr:rowOff>
    </xdr:from>
    <xdr:to>
      <xdr:col>7</xdr:col>
      <xdr:colOff>269273</xdr:colOff>
      <xdr:row>65</xdr:row>
      <xdr:rowOff>171450</xdr:rowOff>
    </xdr:to>
    <xdr:pic>
      <xdr:nvPicPr>
        <xdr:cNvPr id="3" name="Picture 2">
          <a:extLst>
            <a:ext uri="{FF2B5EF4-FFF2-40B4-BE49-F238E27FC236}">
              <a16:creationId xmlns:a16="http://schemas.microsoft.com/office/drawing/2014/main" id="{EB3FEFE9-A976-A86F-9F0B-FFA7F073EFA6}"/>
            </a:ext>
          </a:extLst>
        </xdr:cNvPr>
        <xdr:cNvPicPr>
          <a:picLocks noChangeAspect="1"/>
        </xdr:cNvPicPr>
      </xdr:nvPicPr>
      <xdr:blipFill>
        <a:blip xmlns:r="http://schemas.openxmlformats.org/officeDocument/2006/relationships" r:embed="rId1"/>
        <a:stretch>
          <a:fillRect/>
        </a:stretch>
      </xdr:blipFill>
      <xdr:spPr>
        <a:xfrm>
          <a:off x="333374" y="11296650"/>
          <a:ext cx="11384949" cy="2886075"/>
        </a:xfrm>
        <a:prstGeom prst="rect">
          <a:avLst/>
        </a:prstGeom>
      </xdr:spPr>
    </xdr:pic>
    <xdr:clientData/>
  </xdr:twoCellAnchor>
  <xdr:twoCellAnchor editAs="oneCell">
    <xdr:from>
      <xdr:col>1</xdr:col>
      <xdr:colOff>0</xdr:colOff>
      <xdr:row>74</xdr:row>
      <xdr:rowOff>0</xdr:rowOff>
    </xdr:from>
    <xdr:to>
      <xdr:col>3</xdr:col>
      <xdr:colOff>1743314</xdr:colOff>
      <xdr:row>88</xdr:row>
      <xdr:rowOff>25532</xdr:rowOff>
    </xdr:to>
    <xdr:pic>
      <xdr:nvPicPr>
        <xdr:cNvPr id="4" name="Picture 3">
          <a:extLst>
            <a:ext uri="{FF2B5EF4-FFF2-40B4-BE49-F238E27FC236}">
              <a16:creationId xmlns:a16="http://schemas.microsoft.com/office/drawing/2014/main" id="{E4FB5F35-B9F1-D0E6-F9BC-334F931C9874}"/>
            </a:ext>
          </a:extLst>
        </xdr:cNvPr>
        <xdr:cNvPicPr>
          <a:picLocks noChangeAspect="1"/>
        </xdr:cNvPicPr>
      </xdr:nvPicPr>
      <xdr:blipFill>
        <a:blip xmlns:r="http://schemas.openxmlformats.org/officeDocument/2006/relationships" r:embed="rId2"/>
        <a:stretch>
          <a:fillRect/>
        </a:stretch>
      </xdr:blipFill>
      <xdr:spPr>
        <a:xfrm>
          <a:off x="333375" y="15640050"/>
          <a:ext cx="4648439" cy="25591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819150</xdr:colOff>
      <xdr:row>31</xdr:row>
      <xdr:rowOff>161925</xdr:rowOff>
    </xdr:from>
    <xdr:to>
      <xdr:col>3</xdr:col>
      <xdr:colOff>1111482</xdr:colOff>
      <xdr:row>47</xdr:row>
      <xdr:rowOff>140</xdr:rowOff>
    </xdr:to>
    <xdr:pic>
      <xdr:nvPicPr>
        <xdr:cNvPr id="2" name="Picture 1">
          <a:extLst>
            <a:ext uri="{FF2B5EF4-FFF2-40B4-BE49-F238E27FC236}">
              <a16:creationId xmlns:a16="http://schemas.microsoft.com/office/drawing/2014/main" id="{76CA12F0-E665-FDD9-899D-6BA3FC51BF46}"/>
            </a:ext>
          </a:extLst>
        </xdr:cNvPr>
        <xdr:cNvPicPr>
          <a:picLocks noChangeAspect="1"/>
        </xdr:cNvPicPr>
      </xdr:nvPicPr>
      <xdr:blipFill>
        <a:blip xmlns:r="http://schemas.openxmlformats.org/officeDocument/2006/relationships" r:embed="rId1"/>
        <a:stretch>
          <a:fillRect/>
        </a:stretch>
      </xdr:blipFill>
      <xdr:spPr>
        <a:xfrm>
          <a:off x="819150" y="4686300"/>
          <a:ext cx="4511907" cy="2730640"/>
        </a:xfrm>
        <a:prstGeom prst="rect">
          <a:avLst/>
        </a:prstGeom>
      </xdr:spPr>
    </xdr:pic>
    <xdr:clientData/>
  </xdr:twoCellAnchor>
  <xdr:twoCellAnchor editAs="oneCell">
    <xdr:from>
      <xdr:col>0</xdr:col>
      <xdr:colOff>0</xdr:colOff>
      <xdr:row>47</xdr:row>
      <xdr:rowOff>0</xdr:rowOff>
    </xdr:from>
    <xdr:to>
      <xdr:col>3</xdr:col>
      <xdr:colOff>568571</xdr:colOff>
      <xdr:row>67</xdr:row>
      <xdr:rowOff>25587</xdr:rowOff>
    </xdr:to>
    <xdr:pic>
      <xdr:nvPicPr>
        <xdr:cNvPr id="3" name="Picture 2">
          <a:extLst>
            <a:ext uri="{FF2B5EF4-FFF2-40B4-BE49-F238E27FC236}">
              <a16:creationId xmlns:a16="http://schemas.microsoft.com/office/drawing/2014/main" id="{532FB135-0871-D99B-98EC-1F02FA0C60FB}"/>
            </a:ext>
          </a:extLst>
        </xdr:cNvPr>
        <xdr:cNvPicPr>
          <a:picLocks noChangeAspect="1"/>
        </xdr:cNvPicPr>
      </xdr:nvPicPr>
      <xdr:blipFill>
        <a:blip xmlns:r="http://schemas.openxmlformats.org/officeDocument/2006/relationships" r:embed="rId2"/>
        <a:stretch>
          <a:fillRect/>
        </a:stretch>
      </xdr:blipFill>
      <xdr:spPr>
        <a:xfrm>
          <a:off x="0" y="7419975"/>
          <a:ext cx="4788146" cy="3645087"/>
        </a:xfrm>
        <a:prstGeom prst="rect">
          <a:avLst/>
        </a:prstGeom>
      </xdr:spPr>
    </xdr:pic>
    <xdr:clientData/>
  </xdr:twoCellAnchor>
  <xdr:twoCellAnchor editAs="oneCell">
    <xdr:from>
      <xdr:col>0</xdr:col>
      <xdr:colOff>0</xdr:colOff>
      <xdr:row>70</xdr:row>
      <xdr:rowOff>0</xdr:rowOff>
    </xdr:from>
    <xdr:to>
      <xdr:col>5</xdr:col>
      <xdr:colOff>63500</xdr:colOff>
      <xdr:row>94</xdr:row>
      <xdr:rowOff>19050</xdr:rowOff>
    </xdr:to>
    <xdr:pic>
      <xdr:nvPicPr>
        <xdr:cNvPr id="4" name="Picture 3">
          <a:extLst>
            <a:ext uri="{FF2B5EF4-FFF2-40B4-BE49-F238E27FC236}">
              <a16:creationId xmlns:a16="http://schemas.microsoft.com/office/drawing/2014/main" id="{C2D47AB6-D01D-9C9A-D2B7-65D9A5A32E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1785600"/>
          <a:ext cx="6629400" cy="443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Young, Matthew J" id="{FF688BB4-8F7E-4979-94D0-6877041B0073}" userId="S::mjyoung@usgs.gov::19e130ee-7aa5-4f62-a74e-b94a739c4648" providerId="AD"/>
  <person displayName="Hartman, Rosemary@DWR (she/her)" id="{3A46231C-F56C-4F36-B3C0-70549FD48C92}" userId="S::Rosemary.Hartman@water.ca.gov::984f44d5-4180-46ad-9b77-e367b17d972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3-03-28T23:48:01.57" personId="{FF688BB4-8F7E-4979-94D0-6877041B0073}" id="{A507E536-2BC4-4EAF-A792-DFC81F6F1827}">
    <text>Production/Biomass</text>
  </threadedComment>
  <threadedComment ref="U1" dT="2023-03-27T20:45:33.57" personId="{FF688BB4-8F7E-4979-94D0-6877041B0073}" id="{664C75EC-4C64-470E-B6FE-FE2281E5A19E}">
    <text>Consumption/biomass</text>
  </threadedComment>
  <threadedComment ref="N5" dT="2023-05-17T17:42:23.81" personId="{FF688BB4-8F7E-4979-94D0-6877041B0073}" id="{E00AACD3-4CB0-40DF-B23A-ABC24CC26D16}">
    <text>This is from Atlantic Silverside</text>
  </threadedComment>
  <threadedComment ref="N6" dT="2023-05-17T17:44:12.89" personId="{FF688BB4-8F7E-4979-94D0-6877041B0073}" id="{248BE900-3C3F-42E1-9E40-8A6021045AC0}">
    <text>Gizzard shad</text>
  </threadedComment>
  <threadedComment ref="N8" dT="2023-05-17T17:49:54.91" personId="{FF688BB4-8F7E-4979-94D0-6877041B0073}" id="{AD2F7B3C-AE6E-4E15-91FB-615A2CE499A5}">
    <text>Use threadfin shad</text>
  </threadedComment>
  <threadedComment ref="M15" dT="2023-05-17T17:42:31.85" personId="{FF688BB4-8F7E-4979-94D0-6877041B0073}" id="{C6142A27-B033-4671-A275-F0E29A981BEF}">
    <text>Used C. asper</text>
  </threadedComment>
  <threadedComment ref="N15" dT="2023-05-17T17:42:39.67" personId="{FF688BB4-8F7E-4979-94D0-6877041B0073}" id="{D12E4B3A-7CDB-4143-ADC1-ABA0711A9E70}">
    <text>Used yellowfin goby</text>
  </threadedComment>
  <threadedComment ref="N16" dT="2023-05-17T17:47:00.08" personId="{FF688BB4-8F7E-4979-94D0-6877041B0073}" id="{A851CDFE-4FF7-4C48-BC50-BE0F0C2911C1}">
    <text>used bluegill</text>
  </threadedComment>
  <threadedComment ref="N17" dT="2023-05-17T17:49:02.66" personId="{FF688BB4-8F7E-4979-94D0-6877041B0073}" id="{8F26BCA7-52B7-41A9-BE45-DD5E2596F1C8}">
    <text>Used goldfish</text>
  </threadedComment>
  <threadedComment ref="N18" dT="2023-05-17T17:45:59.01" personId="{FF688BB4-8F7E-4979-94D0-6877041B0073}" id="{A661F776-1430-49C8-8ABC-D6FF5E8D2A49}">
    <text>used Tui Chub</text>
  </threadedComment>
  <threadedComment ref="N19" dT="2023-05-17T17:46:46.52" personId="{FF688BB4-8F7E-4979-94D0-6877041B0073}" id="{B17998E3-D980-4686-8700-135C409FC874}">
    <text>Used Northern Pikeminnow</text>
  </threadedComment>
  <threadedComment ref="E22" dT="2023-05-17T20:32:54.88" personId="{FF688BB4-8F7E-4979-94D0-6877041B0073}" id="{10613D4C-73B2-4033-9BB1-5DF032A3DCF5}">
    <text>0.400 based on Zierdt Smith. Used calcs from Young et al 2018</text>
  </threadedComment>
  <threadedComment ref="E24" dT="2023-05-17T20:27:16.59" personId="{FF688BB4-8F7E-4979-94D0-6877041B0073}" id="{35D3F6D8-A84D-46A4-A859-F8D12C5EE4F1}">
    <text>804.3 obtained via Zierdt Smith, used values from Young</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3-05-17T20:32:54.88" personId="{FF688BB4-8F7E-4979-94D0-6877041B0073}" id="{2253C964-8575-457F-84DF-2AEB9F95108B}">
    <text>0.400 based on Zierdt Smith. Used calcs from Young et al 2018</text>
  </threadedComment>
</ThreadedComments>
</file>

<file path=xl/threadedComments/threadedComment3.xml><?xml version="1.0" encoding="utf-8"?>
<ThreadedComments xmlns="http://schemas.microsoft.com/office/spreadsheetml/2018/threadedcomments" xmlns:x="http://schemas.openxmlformats.org/spreadsheetml/2006/main">
  <threadedComment ref="H1" dT="2023-03-28T23:48:01.57" personId="{FF688BB4-8F7E-4979-94D0-6877041B0073}" id="{04240FD7-3159-44A0-9F39-44A4916A7AC7}">
    <text>Production/Biomass</text>
  </threadedComment>
  <threadedComment ref="U1" dT="2023-03-27T20:45:33.57" personId="{FF688BB4-8F7E-4979-94D0-6877041B0073}" id="{578F8387-4BAD-482C-B1E9-88C2D9EA758C}">
    <text>Consumption/biomass</text>
  </threadedComment>
  <threadedComment ref="N5" dT="2023-05-17T17:42:23.81" personId="{FF688BB4-8F7E-4979-94D0-6877041B0073}" id="{0F7BB635-BF16-4204-AAE2-648861855766}">
    <text>This is from Atlantic Silverside</text>
  </threadedComment>
  <threadedComment ref="N6" dT="2023-05-17T17:44:12.89" personId="{FF688BB4-8F7E-4979-94D0-6877041B0073}" id="{DC82C8C8-4682-43F0-AB4D-2849B07F693C}">
    <text>Gizzard shad</text>
  </threadedComment>
  <threadedComment ref="N8" dT="2023-05-17T17:49:54.91" personId="{FF688BB4-8F7E-4979-94D0-6877041B0073}" id="{05C5EC41-EA7E-41DC-8CA6-BA94E1E14A2D}">
    <text>Use threadfin shad</text>
  </threadedComment>
  <threadedComment ref="M15" dT="2023-05-17T17:42:31.85" personId="{FF688BB4-8F7E-4979-94D0-6877041B0073}" id="{CABDFB46-5086-487C-8C95-3C8EE1C95472}">
    <text>Used C. asper</text>
  </threadedComment>
  <threadedComment ref="N15" dT="2023-05-17T17:42:39.67" personId="{FF688BB4-8F7E-4979-94D0-6877041B0073}" id="{AF38E409-BFF4-49B2-9F95-42FDB6837CDD}">
    <text>Used yellowfin goby</text>
  </threadedComment>
  <threadedComment ref="N16" dT="2023-05-17T17:47:00.08" personId="{FF688BB4-8F7E-4979-94D0-6877041B0073}" id="{FB5D8AF3-4221-4EED-92E2-5677D9C3C7DA}">
    <text>used bluegill</text>
  </threadedComment>
  <threadedComment ref="N17" dT="2023-05-17T17:49:02.66" personId="{FF688BB4-8F7E-4979-94D0-6877041B0073}" id="{0250F242-355A-401D-8DE3-3B7F16A2AE3F}">
    <text>Used goldfish</text>
  </threadedComment>
  <threadedComment ref="N18" dT="2023-05-17T17:45:59.01" personId="{FF688BB4-8F7E-4979-94D0-6877041B0073}" id="{9AEBFED1-60BB-4D04-955A-6752BDCFF3AF}">
    <text>used Tui Chub</text>
  </threadedComment>
  <threadedComment ref="N19" dT="2023-05-17T17:46:46.52" personId="{FF688BB4-8F7E-4979-94D0-6877041B0073}" id="{8F7F7AD6-A22E-4C0F-A78D-1C99DA610437}">
    <text>Used Northern Pikeminnow</text>
  </threadedComment>
  <threadedComment ref="E24" dT="2023-05-17T20:32:54.88" personId="{FF688BB4-8F7E-4979-94D0-6877041B0073}" id="{C4245009-28C1-4746-A41D-7FB7959D4E4A}">
    <text>0.400 based on Zierdt Smith. Used calcs from Young et al 2018</text>
  </threadedComment>
  <threadedComment ref="E28" dT="2023-05-17T20:27:16.59" personId="{FF688BB4-8F7E-4979-94D0-6877041B0073}" id="{517BF853-1660-4A15-A438-AE7A5DCECBBE}">
    <text>804.3 obtained via Zierdt Smith, used values from Young</text>
  </threadedComment>
</ThreadedComments>
</file>

<file path=xl/threadedComments/threadedComment4.xml><?xml version="1.0" encoding="utf-8"?>
<ThreadedComments xmlns="http://schemas.microsoft.com/office/spreadsheetml/2018/threadedcomments" xmlns:x="http://schemas.openxmlformats.org/spreadsheetml/2006/main">
  <threadedComment ref="B11" dT="2026-07-02T16:57:49.31" personId="{3A46231C-F56C-4F36-B3C0-70549FD48C92}" id="{0EBA0974-1903-4504-A4F0-A966FA96781C}">
    <text>Do we want predatory insects from Young et 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D1DB8-264E-4AB9-B9D8-D207318BED3F}">
  <dimension ref="A1:Z36"/>
  <sheetViews>
    <sheetView workbookViewId="0">
      <selection activeCell="F31" sqref="F31"/>
    </sheetView>
  </sheetViews>
  <sheetFormatPr defaultRowHeight="14.5" x14ac:dyDescent="0.35"/>
  <cols>
    <col min="1" max="1" width="4.7265625" bestFit="1" customWidth="1"/>
    <col min="2" max="2" width="18.26953125" bestFit="1" customWidth="1"/>
    <col min="3" max="3" width="23.26953125" bestFit="1" customWidth="1"/>
    <col min="4" max="4" width="68.1796875" bestFit="1" customWidth="1"/>
    <col min="5" max="5" width="17" bestFit="1" customWidth="1"/>
    <col min="6" max="6" width="29" bestFit="1" customWidth="1"/>
    <col min="7" max="7" width="3.26953125" bestFit="1" customWidth="1"/>
    <col min="8" max="8" width="13.26953125" bestFit="1" customWidth="1"/>
    <col min="9" max="9" width="101" bestFit="1" customWidth="1"/>
    <col min="10" max="10" width="99.26953125" bestFit="1" customWidth="1"/>
    <col min="11" max="11" width="56.453125" bestFit="1" customWidth="1"/>
    <col min="12" max="12" width="6" bestFit="1" customWidth="1"/>
    <col min="13" max="13" width="5" bestFit="1" customWidth="1"/>
    <col min="14" max="14" width="4" bestFit="1" customWidth="1"/>
    <col min="15" max="15" width="5" bestFit="1" customWidth="1"/>
    <col min="16" max="16" width="10.1796875" bestFit="1" customWidth="1"/>
    <col min="17" max="18" width="2.1796875" bestFit="1" customWidth="1"/>
    <col min="19" max="19" width="12.81640625" bestFit="1" customWidth="1"/>
    <col min="20" max="20" width="12" bestFit="1" customWidth="1"/>
    <col min="21" max="21" width="13.54296875" bestFit="1" customWidth="1"/>
    <col min="22" max="22" width="17.453125" bestFit="1" customWidth="1"/>
    <col min="23" max="23" width="12.7265625" bestFit="1" customWidth="1"/>
    <col min="24" max="24" width="12" bestFit="1" customWidth="1"/>
    <col min="25" max="25" width="17.26953125" bestFit="1" customWidth="1"/>
    <col min="26" max="26" width="39.54296875" bestFit="1" customWidth="1"/>
  </cols>
  <sheetData>
    <row r="1" spans="1:26" x14ac:dyDescent="0.35">
      <c r="A1" s="1" t="s">
        <v>0</v>
      </c>
      <c r="B1" s="1" t="s">
        <v>1</v>
      </c>
      <c r="C1" s="1" t="s">
        <v>2</v>
      </c>
      <c r="D1" s="1" t="s">
        <v>3</v>
      </c>
      <c r="E1" s="1" t="s">
        <v>4</v>
      </c>
      <c r="F1" s="1" t="s">
        <v>5</v>
      </c>
      <c r="G1" s="1" t="s">
        <v>6</v>
      </c>
      <c r="H1" s="2" t="s">
        <v>7</v>
      </c>
      <c r="I1" s="1" t="s">
        <v>5</v>
      </c>
      <c r="J1" s="1" t="s">
        <v>8</v>
      </c>
      <c r="K1" s="1" t="s">
        <v>9</v>
      </c>
      <c r="L1" s="1" t="s">
        <v>10</v>
      </c>
      <c r="M1" s="1" t="s">
        <v>11</v>
      </c>
      <c r="N1" s="1" t="s">
        <v>12</v>
      </c>
      <c r="O1" s="1" t="s">
        <v>13</v>
      </c>
      <c r="P1" s="1" t="s">
        <v>14</v>
      </c>
      <c r="Q1" s="1" t="s">
        <v>15</v>
      </c>
      <c r="R1" s="1" t="s">
        <v>16</v>
      </c>
      <c r="S1" s="1" t="s">
        <v>17</v>
      </c>
      <c r="T1" s="1" t="s">
        <v>18</v>
      </c>
      <c r="U1" s="1" t="s">
        <v>19</v>
      </c>
      <c r="V1" s="1" t="s">
        <v>5</v>
      </c>
      <c r="W1" s="1" t="s">
        <v>20</v>
      </c>
      <c r="X1" s="1" t="s">
        <v>21</v>
      </c>
      <c r="Y1" s="1" t="s">
        <v>5</v>
      </c>
      <c r="Z1" s="1" t="s">
        <v>22</v>
      </c>
    </row>
    <row r="2" spans="1:26" x14ac:dyDescent="0.35">
      <c r="A2" s="3" t="s">
        <v>23</v>
      </c>
      <c r="B2" s="3" t="s">
        <v>24</v>
      </c>
      <c r="C2" s="3" t="s">
        <v>25</v>
      </c>
      <c r="D2" s="3"/>
      <c r="E2" s="3">
        <v>0.27200000000000002</v>
      </c>
      <c r="F2" s="4" t="s">
        <v>26</v>
      </c>
      <c r="G2" s="3"/>
      <c r="H2" s="5">
        <f>EXP(-0.0066-0.279*LOG(M2)+0.6543*LOG(N2)+0.4634*LOG(O2))</f>
        <v>0.53043898998633732</v>
      </c>
      <c r="I2" s="3" t="s">
        <v>27</v>
      </c>
      <c r="J2" s="3"/>
      <c r="K2" t="s">
        <v>28</v>
      </c>
      <c r="L2" s="3">
        <v>500</v>
      </c>
      <c r="M2" s="6">
        <v>760</v>
      </c>
      <c r="N2" s="7">
        <v>0.2</v>
      </c>
      <c r="O2" s="3">
        <v>23.3</v>
      </c>
      <c r="P2" s="7">
        <v>1.1543300000000001</v>
      </c>
      <c r="Q2" s="3">
        <v>0</v>
      </c>
      <c r="R2" s="3">
        <v>0</v>
      </c>
      <c r="S2" s="3">
        <f>7.964-0.204*LOG10(L2)-1.965*(1000/(O2+273.15))+0.083*P2+Q2*0.532+0.398*R2</f>
        <v>0.88078301054908315</v>
      </c>
      <c r="T2" s="3">
        <f>10^(S2)</f>
        <v>7.599464849341512</v>
      </c>
      <c r="U2" s="3">
        <v>14.57</v>
      </c>
      <c r="V2" s="3"/>
      <c r="W2" s="3"/>
      <c r="X2" s="3">
        <f>H2/T2</f>
        <v>6.9799518848001438E-2</v>
      </c>
      <c r="Y2" s="3"/>
      <c r="Z2" s="3"/>
    </row>
    <row r="3" spans="1:26" x14ac:dyDescent="0.35">
      <c r="A3" s="3"/>
      <c r="B3" s="3" t="s">
        <v>24</v>
      </c>
      <c r="C3" s="3" t="s">
        <v>29</v>
      </c>
      <c r="D3" s="3"/>
      <c r="E3" s="3">
        <v>18.501000000000001</v>
      </c>
      <c r="F3" s="4" t="s">
        <v>26</v>
      </c>
      <c r="G3" s="3"/>
      <c r="H3" s="5">
        <f t="shared" ref="H3:H19" si="0">EXP(-0.0066-0.279*LOG(M3)+0.6543*LOG(N3)+0.4634*LOG(O3))</f>
        <v>0.53043898998633732</v>
      </c>
      <c r="I3" s="3" t="s">
        <v>27</v>
      </c>
      <c r="J3" s="3"/>
      <c r="K3" t="s">
        <v>28</v>
      </c>
      <c r="L3" s="3">
        <v>11000</v>
      </c>
      <c r="M3" s="6">
        <v>760</v>
      </c>
      <c r="N3" s="7">
        <v>0.2</v>
      </c>
      <c r="O3" s="3">
        <v>23.3</v>
      </c>
      <c r="P3" s="7">
        <v>1.1543300000000001</v>
      </c>
      <c r="Q3" s="3">
        <v>0</v>
      </c>
      <c r="R3" s="3">
        <v>0</v>
      </c>
      <c r="S3" s="3">
        <f t="shared" ref="S3:S19" si="1">7.964-0.204*LOG10(L3)-1.965*(1000/(O3+273.15))+0.083*P3+Q3*0.532+0.398*R3</f>
        <v>0.60692878366135317</v>
      </c>
      <c r="T3" s="3">
        <f t="shared" ref="T3:T19" si="2">10^(S3)</f>
        <v>4.0450955410236125</v>
      </c>
      <c r="U3" s="3">
        <v>4.25</v>
      </c>
      <c r="V3" s="3"/>
      <c r="W3" s="3"/>
      <c r="X3" s="3">
        <f t="shared" ref="X3:X29" si="3">H3/T3</f>
        <v>0.13113138728290941</v>
      </c>
      <c r="Y3" s="3"/>
      <c r="Z3" s="3"/>
    </row>
    <row r="4" spans="1:26" x14ac:dyDescent="0.35">
      <c r="A4" s="3"/>
      <c r="B4" s="3" t="s">
        <v>24</v>
      </c>
      <c r="C4" s="3" t="s">
        <v>30</v>
      </c>
      <c r="D4" s="3" t="s">
        <v>31</v>
      </c>
      <c r="E4" s="3">
        <v>5.1269999999999998</v>
      </c>
      <c r="F4" s="4" t="s">
        <v>26</v>
      </c>
      <c r="G4" s="3"/>
      <c r="H4" s="5">
        <f t="shared" si="0"/>
        <v>0.67782618154182994</v>
      </c>
      <c r="I4" s="3" t="s">
        <v>27</v>
      </c>
      <c r="J4" s="3"/>
      <c r="K4" t="s">
        <v>28</v>
      </c>
      <c r="L4" s="3">
        <v>1000</v>
      </c>
      <c r="M4" s="6">
        <v>260</v>
      </c>
      <c r="N4" s="7">
        <v>0.3</v>
      </c>
      <c r="O4" s="3">
        <v>23.3</v>
      </c>
      <c r="P4" s="8">
        <v>1.6189</v>
      </c>
      <c r="Q4" s="3">
        <v>0</v>
      </c>
      <c r="R4" s="3">
        <v>0</v>
      </c>
      <c r="S4" s="3">
        <f t="shared" si="1"/>
        <v>0.85793220143363103</v>
      </c>
      <c r="T4" s="3">
        <f t="shared" si="2"/>
        <v>7.2099491446158508</v>
      </c>
      <c r="U4" s="3">
        <v>4.2</v>
      </c>
      <c r="V4" s="3"/>
      <c r="W4" s="3"/>
      <c r="X4" s="3">
        <f t="shared" si="3"/>
        <v>9.4012616170532623E-2</v>
      </c>
      <c r="Y4" s="3"/>
      <c r="Z4" s="3"/>
    </row>
    <row r="5" spans="1:26" x14ac:dyDescent="0.35">
      <c r="A5" s="3"/>
      <c r="B5" s="3" t="s">
        <v>24</v>
      </c>
      <c r="C5" s="3" t="s">
        <v>32</v>
      </c>
      <c r="D5" s="3"/>
      <c r="E5" s="3">
        <v>0.14099999999999999</v>
      </c>
      <c r="F5" s="4" t="s">
        <v>26</v>
      </c>
      <c r="G5" s="3"/>
      <c r="H5" s="5">
        <f t="shared" si="0"/>
        <v>1.1224511786391782</v>
      </c>
      <c r="I5" s="3" t="s">
        <v>27</v>
      </c>
      <c r="J5" s="3"/>
      <c r="K5" t="s">
        <v>28</v>
      </c>
      <c r="L5" s="3">
        <v>25</v>
      </c>
      <c r="M5" s="6">
        <v>150</v>
      </c>
      <c r="N5" s="7">
        <v>1.4</v>
      </c>
      <c r="O5" s="3">
        <v>23.3</v>
      </c>
      <c r="P5" s="8">
        <v>1.3888</v>
      </c>
      <c r="Q5" s="3">
        <v>0</v>
      </c>
      <c r="R5" s="3">
        <v>0</v>
      </c>
      <c r="S5" s="3">
        <f t="shared" si="1"/>
        <v>1.1656541396645359</v>
      </c>
      <c r="T5" s="3">
        <f t="shared" si="2"/>
        <v>14.643811830500464</v>
      </c>
      <c r="U5" s="3">
        <v>18</v>
      </c>
      <c r="V5" s="3"/>
      <c r="W5" s="3"/>
      <c r="X5" s="3">
        <f t="shared" si="3"/>
        <v>7.6650204989749421E-2</v>
      </c>
      <c r="Y5" s="3"/>
      <c r="Z5" s="3"/>
    </row>
    <row r="6" spans="1:26" x14ac:dyDescent="0.35">
      <c r="A6" s="3"/>
      <c r="B6" s="3" t="s">
        <v>24</v>
      </c>
      <c r="C6" s="3" t="s">
        <v>33</v>
      </c>
      <c r="D6" s="3"/>
      <c r="E6" s="3">
        <v>1.1910000000000001</v>
      </c>
      <c r="F6" s="4" t="s">
        <v>26</v>
      </c>
      <c r="G6" s="3"/>
      <c r="H6" s="5">
        <f t="shared" si="0"/>
        <v>0.7997411866785038</v>
      </c>
      <c r="I6" s="3" t="s">
        <v>27</v>
      </c>
      <c r="J6" s="3"/>
      <c r="K6" t="s">
        <v>28</v>
      </c>
      <c r="L6" s="3">
        <v>50</v>
      </c>
      <c r="M6" s="6">
        <v>220</v>
      </c>
      <c r="N6" s="7">
        <v>0.5</v>
      </c>
      <c r="O6" s="3">
        <v>23.3</v>
      </c>
      <c r="P6" s="8">
        <v>2.2445599999999999</v>
      </c>
      <c r="Q6" s="3">
        <v>0</v>
      </c>
      <c r="R6" s="3">
        <v>0</v>
      </c>
      <c r="S6" s="3">
        <f t="shared" si="1"/>
        <v>1.1752721005490838</v>
      </c>
      <c r="T6" s="3">
        <f t="shared" si="2"/>
        <v>14.971733933364188</v>
      </c>
      <c r="U6" s="3">
        <v>19.5</v>
      </c>
      <c r="V6" s="3"/>
      <c r="W6" s="3"/>
      <c r="X6" s="3">
        <f t="shared" si="3"/>
        <v>5.3416737850002644E-2</v>
      </c>
      <c r="Y6" s="3"/>
      <c r="Z6" s="3"/>
    </row>
    <row r="7" spans="1:26" x14ac:dyDescent="0.35">
      <c r="A7" s="3"/>
      <c r="B7" s="3" t="s">
        <v>24</v>
      </c>
      <c r="C7" s="3" t="s">
        <v>34</v>
      </c>
      <c r="D7" s="3" t="s">
        <v>35</v>
      </c>
      <c r="E7" s="3">
        <v>2E-3</v>
      </c>
      <c r="F7" s="4" t="s">
        <v>26</v>
      </c>
      <c r="G7" s="3"/>
      <c r="H7" s="5">
        <f t="shared" si="0"/>
        <v>1.0595260503131927</v>
      </c>
      <c r="I7" s="3" t="s">
        <v>27</v>
      </c>
      <c r="J7" s="3"/>
      <c r="K7" t="s">
        <v>28</v>
      </c>
      <c r="L7" s="3">
        <v>10</v>
      </c>
      <c r="M7" s="6">
        <v>65</v>
      </c>
      <c r="N7" s="7">
        <v>0.8</v>
      </c>
      <c r="O7" s="3">
        <v>23.3</v>
      </c>
      <c r="P7" s="8">
        <v>0.74880999999999998</v>
      </c>
      <c r="Q7" s="3">
        <v>0</v>
      </c>
      <c r="R7" s="3">
        <v>0</v>
      </c>
      <c r="S7" s="3">
        <f t="shared" si="1"/>
        <v>1.1937147314336314</v>
      </c>
      <c r="T7" s="3">
        <f t="shared" si="2"/>
        <v>15.621212182071368</v>
      </c>
      <c r="U7" s="3"/>
      <c r="V7" s="3"/>
      <c r="W7" s="3"/>
      <c r="X7" s="3">
        <f t="shared" si="3"/>
        <v>6.7826109649110469E-2</v>
      </c>
      <c r="Y7" s="3"/>
      <c r="Z7" s="3"/>
    </row>
    <row r="8" spans="1:26" x14ac:dyDescent="0.35">
      <c r="A8" s="3"/>
      <c r="B8" s="3" t="s">
        <v>24</v>
      </c>
      <c r="C8" s="3" t="s">
        <v>36</v>
      </c>
      <c r="D8" s="3"/>
      <c r="E8" s="3">
        <v>1.4390000000000001</v>
      </c>
      <c r="F8" s="4" t="s">
        <v>26</v>
      </c>
      <c r="G8" s="3"/>
      <c r="H8" s="5">
        <f t="shared" si="0"/>
        <v>0.7837158532200984</v>
      </c>
      <c r="I8" s="3" t="s">
        <v>27</v>
      </c>
      <c r="J8" s="3"/>
      <c r="K8" t="s">
        <v>28</v>
      </c>
      <c r="L8" s="3">
        <v>680</v>
      </c>
      <c r="M8" s="6">
        <v>260</v>
      </c>
      <c r="N8" s="7">
        <v>0.5</v>
      </c>
      <c r="O8" s="3">
        <v>23.3</v>
      </c>
      <c r="P8" s="8">
        <v>1.67679</v>
      </c>
      <c r="Q8" s="3">
        <v>0</v>
      </c>
      <c r="R8" s="3">
        <v>0</v>
      </c>
      <c r="S8" s="3">
        <f t="shared" si="1"/>
        <v>0.89690525324155901</v>
      </c>
      <c r="T8" s="3">
        <f t="shared" si="2"/>
        <v>7.8868803671545429</v>
      </c>
      <c r="U8" s="3"/>
      <c r="V8" s="3"/>
      <c r="W8" s="3"/>
      <c r="X8" s="3">
        <f t="shared" si="3"/>
        <v>9.9369562708715234E-2</v>
      </c>
      <c r="Y8" s="3"/>
      <c r="Z8" s="3"/>
    </row>
    <row r="9" spans="1:26" x14ac:dyDescent="0.35">
      <c r="A9" s="3"/>
      <c r="B9" s="3" t="s">
        <v>24</v>
      </c>
      <c r="C9" s="3" t="s">
        <v>37</v>
      </c>
      <c r="D9" s="3" t="s">
        <v>38</v>
      </c>
      <c r="E9" s="3">
        <v>16.108000000000001</v>
      </c>
      <c r="F9" s="4" t="s">
        <v>26</v>
      </c>
      <c r="G9" s="3"/>
      <c r="H9" s="5">
        <f t="shared" si="0"/>
        <v>0.58149210186209488</v>
      </c>
      <c r="I9" s="3" t="s">
        <v>27</v>
      </c>
      <c r="J9" s="3"/>
      <c r="K9" t="s">
        <v>28</v>
      </c>
      <c r="L9" s="3">
        <v>1000</v>
      </c>
      <c r="M9" s="6">
        <v>356</v>
      </c>
      <c r="N9" s="7">
        <v>0.2</v>
      </c>
      <c r="O9" s="3">
        <v>23.3</v>
      </c>
      <c r="P9" s="8">
        <v>1.5669200000000001</v>
      </c>
      <c r="Q9" s="3">
        <v>0</v>
      </c>
      <c r="R9" s="3">
        <v>0</v>
      </c>
      <c r="S9" s="3">
        <f t="shared" si="1"/>
        <v>0.85361786143363105</v>
      </c>
      <c r="T9" s="3">
        <f t="shared" si="2"/>
        <v>7.1386791257967142</v>
      </c>
      <c r="U9" s="3"/>
      <c r="V9" s="3"/>
      <c r="W9" s="3"/>
      <c r="X9" s="3">
        <f t="shared" si="3"/>
        <v>8.1456540014634329E-2</v>
      </c>
      <c r="Y9" s="3"/>
      <c r="Z9" s="3"/>
    </row>
    <row r="10" spans="1:26" x14ac:dyDescent="0.35">
      <c r="A10" s="3"/>
      <c r="B10" s="3" t="s">
        <v>24</v>
      </c>
      <c r="C10" s="3" t="s">
        <v>39</v>
      </c>
      <c r="D10" s="3" t="s">
        <v>40</v>
      </c>
      <c r="E10" s="3">
        <v>82.335999999999999</v>
      </c>
      <c r="F10" s="4" t="s">
        <v>26</v>
      </c>
      <c r="G10" s="3"/>
      <c r="H10" s="5">
        <f t="shared" si="0"/>
        <v>0.5271524747403854</v>
      </c>
      <c r="I10" s="3" t="s">
        <v>27</v>
      </c>
      <c r="J10" s="3"/>
      <c r="K10" t="s">
        <v>28</v>
      </c>
      <c r="L10" s="3">
        <v>25000</v>
      </c>
      <c r="M10" s="6">
        <v>800</v>
      </c>
      <c r="N10" s="7">
        <v>0.2</v>
      </c>
      <c r="O10" s="3">
        <v>23.3</v>
      </c>
      <c r="P10" s="7">
        <v>1.9949699999999999</v>
      </c>
      <c r="Q10" s="3">
        <v>0</v>
      </c>
      <c r="R10" s="3">
        <v>1</v>
      </c>
      <c r="S10" s="3">
        <f t="shared" si="1"/>
        <v>1.0019662496645358</v>
      </c>
      <c r="T10" s="3">
        <f t="shared" si="2"/>
        <v>10.045377215855893</v>
      </c>
      <c r="U10" s="3"/>
      <c r="V10" s="3"/>
      <c r="W10" s="3"/>
      <c r="X10" s="3">
        <f t="shared" si="3"/>
        <v>5.2477120909736844E-2</v>
      </c>
      <c r="Y10" s="3"/>
      <c r="Z10" s="3"/>
    </row>
    <row r="11" spans="1:26" x14ac:dyDescent="0.35">
      <c r="A11" s="3"/>
      <c r="B11" s="3" t="s">
        <v>24</v>
      </c>
      <c r="C11" s="3" t="s">
        <v>41</v>
      </c>
      <c r="D11" s="3" t="s">
        <v>42</v>
      </c>
      <c r="E11" s="3">
        <v>33.231999999999999</v>
      </c>
      <c r="F11" s="4" t="s">
        <v>26</v>
      </c>
      <c r="G11" s="3"/>
      <c r="H11" s="5">
        <f t="shared" si="0"/>
        <v>0.57213506937469605</v>
      </c>
      <c r="I11" s="3" t="s">
        <v>27</v>
      </c>
      <c r="J11" s="3"/>
      <c r="K11" t="s">
        <v>28</v>
      </c>
      <c r="L11" s="3">
        <v>10000</v>
      </c>
      <c r="M11" s="6">
        <v>407</v>
      </c>
      <c r="N11" s="7">
        <v>0.2</v>
      </c>
      <c r="O11" s="3">
        <v>23.3</v>
      </c>
      <c r="P11" s="8">
        <v>1.10504</v>
      </c>
      <c r="Q11" s="3">
        <v>0</v>
      </c>
      <c r="R11" s="3">
        <v>0</v>
      </c>
      <c r="S11" s="3">
        <f t="shared" si="1"/>
        <v>0.6112818214336313</v>
      </c>
      <c r="T11" s="3">
        <f t="shared" si="2"/>
        <v>4.0858443805271349</v>
      </c>
      <c r="U11" s="3">
        <v>2.2000000000000002</v>
      </c>
      <c r="V11" s="3" t="s">
        <v>43</v>
      </c>
      <c r="W11" s="3"/>
      <c r="X11" s="3">
        <f t="shared" si="3"/>
        <v>0.14002860023290511</v>
      </c>
      <c r="Y11" s="3"/>
      <c r="Z11" s="3"/>
    </row>
    <row r="12" spans="1:26" x14ac:dyDescent="0.35">
      <c r="A12" s="3"/>
      <c r="B12" s="3" t="s">
        <v>24</v>
      </c>
      <c r="C12" s="3" t="s">
        <v>44</v>
      </c>
      <c r="D12" s="3"/>
      <c r="E12" s="3">
        <v>0.109</v>
      </c>
      <c r="F12" s="4" t="s">
        <v>26</v>
      </c>
      <c r="G12" s="3"/>
      <c r="H12" s="5">
        <f t="shared" si="0"/>
        <v>0.49940332974742452</v>
      </c>
      <c r="I12" s="3" t="s">
        <v>27</v>
      </c>
      <c r="J12" s="3"/>
      <c r="K12" t="s">
        <v>28</v>
      </c>
      <c r="L12" s="3">
        <v>500</v>
      </c>
      <c r="M12" s="6">
        <v>1250</v>
      </c>
      <c r="N12" s="7">
        <v>0.2</v>
      </c>
      <c r="O12" s="3">
        <v>23.3</v>
      </c>
      <c r="P12" s="8">
        <v>2.0669400000000002</v>
      </c>
      <c r="Q12" s="3">
        <v>0</v>
      </c>
      <c r="R12" s="3">
        <v>0</v>
      </c>
      <c r="S12" s="3">
        <f t="shared" si="1"/>
        <v>0.95652964054908318</v>
      </c>
      <c r="T12" s="3">
        <f t="shared" si="2"/>
        <v>9.0475218486487599</v>
      </c>
      <c r="U12" s="3">
        <v>10</v>
      </c>
      <c r="V12" s="3"/>
      <c r="W12" s="3"/>
      <c r="X12" s="3">
        <f t="shared" si="3"/>
        <v>5.5197803122410807E-2</v>
      </c>
      <c r="Y12" s="3"/>
      <c r="Z12" s="3"/>
    </row>
    <row r="13" spans="1:26" x14ac:dyDescent="0.35">
      <c r="A13" s="3"/>
      <c r="B13" s="3" t="s">
        <v>24</v>
      </c>
      <c r="C13" s="3" t="s">
        <v>45</v>
      </c>
      <c r="D13" s="3"/>
      <c r="E13" s="3">
        <v>4.3159999999999998</v>
      </c>
      <c r="F13" s="4" t="s">
        <v>26</v>
      </c>
      <c r="G13" s="3"/>
      <c r="H13" s="5">
        <f t="shared" si="0"/>
        <v>0.49940332974742452</v>
      </c>
      <c r="I13" s="3" t="s">
        <v>27</v>
      </c>
      <c r="J13" s="3"/>
      <c r="K13" t="s">
        <v>28</v>
      </c>
      <c r="L13" s="3">
        <v>5000</v>
      </c>
      <c r="M13" s="6">
        <v>1250</v>
      </c>
      <c r="N13" s="7">
        <v>0.2</v>
      </c>
      <c r="O13" s="3">
        <v>23.3</v>
      </c>
      <c r="P13" s="8">
        <v>2.0669400000000002</v>
      </c>
      <c r="Q13" s="3">
        <v>0</v>
      </c>
      <c r="R13" s="3">
        <v>0</v>
      </c>
      <c r="S13" s="3">
        <f t="shared" si="1"/>
        <v>0.75252964054908345</v>
      </c>
      <c r="T13" s="3">
        <f t="shared" si="2"/>
        <v>5.6562635970665998</v>
      </c>
      <c r="U13" s="3">
        <v>3.18</v>
      </c>
      <c r="V13" s="3"/>
      <c r="W13" s="3"/>
      <c r="X13" s="3">
        <f t="shared" si="3"/>
        <v>8.8292089146343983E-2</v>
      </c>
      <c r="Y13" s="3"/>
      <c r="Z13" s="3"/>
    </row>
    <row r="14" spans="1:26" x14ac:dyDescent="0.35">
      <c r="A14" s="3"/>
      <c r="B14" s="3" t="s">
        <v>24</v>
      </c>
      <c r="C14" s="3" t="s">
        <v>46</v>
      </c>
      <c r="D14" s="3"/>
      <c r="E14" s="3">
        <v>0</v>
      </c>
      <c r="F14" s="4" t="s">
        <v>26</v>
      </c>
      <c r="G14" s="3"/>
      <c r="H14" s="5" t="e">
        <f t="shared" si="0"/>
        <v>#NUM!</v>
      </c>
      <c r="I14" s="3" t="s">
        <v>27</v>
      </c>
      <c r="J14" s="3"/>
      <c r="K14" t="s">
        <v>28</v>
      </c>
      <c r="L14" s="3"/>
      <c r="M14" s="6"/>
      <c r="N14" s="7"/>
      <c r="O14" s="3">
        <v>23.3</v>
      </c>
      <c r="P14" s="7"/>
      <c r="Q14" s="3"/>
      <c r="R14" s="3"/>
      <c r="S14" s="3" t="e">
        <f t="shared" si="1"/>
        <v>#NUM!</v>
      </c>
      <c r="T14" s="3" t="e">
        <f t="shared" si="2"/>
        <v>#NUM!</v>
      </c>
      <c r="U14" s="3"/>
      <c r="V14" s="3"/>
      <c r="W14" s="3"/>
      <c r="X14" s="3" t="e">
        <f t="shared" si="3"/>
        <v>#NUM!</v>
      </c>
      <c r="Y14" s="3"/>
      <c r="Z14" s="3"/>
    </row>
    <row r="15" spans="1:26" x14ac:dyDescent="0.35">
      <c r="A15" s="3"/>
      <c r="B15" s="3" t="s">
        <v>24</v>
      </c>
      <c r="C15" s="3" t="s">
        <v>47</v>
      </c>
      <c r="D15" s="3" t="s">
        <v>48</v>
      </c>
      <c r="E15" s="3">
        <v>0.47499999999999998</v>
      </c>
      <c r="F15" s="4" t="s">
        <v>26</v>
      </c>
      <c r="G15" s="3"/>
      <c r="H15" s="5">
        <f t="shared" si="0"/>
        <v>0.69972057792442388</v>
      </c>
      <c r="I15" s="3" t="s">
        <v>27</v>
      </c>
      <c r="J15" s="3"/>
      <c r="K15" t="s">
        <v>28</v>
      </c>
      <c r="L15" s="3">
        <v>25</v>
      </c>
      <c r="M15" s="6">
        <v>200</v>
      </c>
      <c r="N15" s="7">
        <v>0.3</v>
      </c>
      <c r="O15" s="3">
        <v>23.3</v>
      </c>
      <c r="P15" s="8">
        <v>0.876085</v>
      </c>
      <c r="Q15" s="3">
        <v>0</v>
      </c>
      <c r="R15" s="3">
        <v>0</v>
      </c>
      <c r="S15" s="3">
        <f t="shared" si="1"/>
        <v>1.1230987946645359</v>
      </c>
      <c r="T15" s="3">
        <f t="shared" si="2"/>
        <v>13.276964519128684</v>
      </c>
      <c r="U15" s="3">
        <v>15.1</v>
      </c>
      <c r="V15" s="3" t="s">
        <v>49</v>
      </c>
      <c r="W15" s="3"/>
      <c r="X15" s="3">
        <f t="shared" si="3"/>
        <v>5.2701848898993958E-2</v>
      </c>
      <c r="Y15" s="3"/>
      <c r="Z15" s="3"/>
    </row>
    <row r="16" spans="1:26" x14ac:dyDescent="0.35">
      <c r="A16" s="3"/>
      <c r="B16" s="3" t="s">
        <v>24</v>
      </c>
      <c r="C16" s="3" t="s">
        <v>50</v>
      </c>
      <c r="D16" s="3"/>
      <c r="E16" s="3">
        <v>7.7130000000000001</v>
      </c>
      <c r="F16" s="4" t="s">
        <v>26</v>
      </c>
      <c r="G16" s="3"/>
      <c r="H16" s="5">
        <f t="shared" si="0"/>
        <v>0.68512649039762263</v>
      </c>
      <c r="I16" s="3" t="s">
        <v>27</v>
      </c>
      <c r="J16" s="3"/>
      <c r="K16" t="s">
        <v>28</v>
      </c>
      <c r="L16" s="3">
        <v>500</v>
      </c>
      <c r="M16" s="6">
        <v>238</v>
      </c>
      <c r="N16" s="7">
        <v>0.3</v>
      </c>
      <c r="O16" s="3">
        <v>23.3</v>
      </c>
      <c r="P16" s="8">
        <v>2.1623100000000002</v>
      </c>
      <c r="Q16" s="3">
        <v>0</v>
      </c>
      <c r="R16" s="3">
        <v>0</v>
      </c>
      <c r="S16" s="3">
        <f t="shared" si="1"/>
        <v>0.9644453505490832</v>
      </c>
      <c r="T16" s="3">
        <f t="shared" si="2"/>
        <v>9.2139393782344765</v>
      </c>
      <c r="U16" s="3">
        <v>8.9</v>
      </c>
      <c r="V16" s="3"/>
      <c r="W16" s="3"/>
      <c r="X16" s="3">
        <f t="shared" si="3"/>
        <v>7.4357607780235119E-2</v>
      </c>
      <c r="Y16" s="3"/>
      <c r="Z16" s="3"/>
    </row>
    <row r="17" spans="1:26" x14ac:dyDescent="0.35">
      <c r="A17" s="3"/>
      <c r="B17" s="3" t="s">
        <v>24</v>
      </c>
      <c r="C17" s="3" t="s">
        <v>51</v>
      </c>
      <c r="D17" s="3"/>
      <c r="E17" s="3">
        <v>47.918999999999997</v>
      </c>
      <c r="F17" s="4" t="s">
        <v>26</v>
      </c>
      <c r="G17" s="3"/>
      <c r="H17" s="5">
        <f t="shared" si="0"/>
        <v>0.55043423197866836</v>
      </c>
      <c r="I17" s="3" t="s">
        <v>27</v>
      </c>
      <c r="J17" s="3"/>
      <c r="K17" t="s">
        <v>28</v>
      </c>
      <c r="L17" s="3">
        <v>4000</v>
      </c>
      <c r="M17" s="6">
        <v>560</v>
      </c>
      <c r="N17" s="7">
        <v>0.2</v>
      </c>
      <c r="O17" s="3">
        <v>23.3</v>
      </c>
      <c r="P17" s="8">
        <v>1.6152200000000001</v>
      </c>
      <c r="Q17" s="3">
        <v>0</v>
      </c>
      <c r="R17" s="3">
        <v>1</v>
      </c>
      <c r="S17" s="3">
        <f t="shared" si="1"/>
        <v>1.1328065232027269</v>
      </c>
      <c r="T17" s="3">
        <f t="shared" si="2"/>
        <v>13.577084570783642</v>
      </c>
      <c r="U17" s="3"/>
      <c r="V17" s="3"/>
      <c r="W17" s="3"/>
      <c r="X17" s="3">
        <f t="shared" si="3"/>
        <v>4.0541415876803252E-2</v>
      </c>
      <c r="Y17" s="3"/>
      <c r="Z17" s="3"/>
    </row>
    <row r="18" spans="1:26" x14ac:dyDescent="0.35">
      <c r="A18" s="3"/>
      <c r="B18" s="3" t="s">
        <v>24</v>
      </c>
      <c r="C18" s="3" t="s">
        <v>52</v>
      </c>
      <c r="D18" s="3"/>
      <c r="E18" s="3">
        <v>0.83899999999999997</v>
      </c>
      <c r="F18" s="4" t="s">
        <v>26</v>
      </c>
      <c r="G18" s="3"/>
      <c r="H18" s="5">
        <f t="shared" si="0"/>
        <v>0.5826909568142763</v>
      </c>
      <c r="I18" s="3" t="s">
        <v>27</v>
      </c>
      <c r="J18" s="3"/>
      <c r="K18" t="s">
        <v>28</v>
      </c>
      <c r="L18" s="3">
        <v>1000</v>
      </c>
      <c r="M18" s="6">
        <v>350</v>
      </c>
      <c r="N18" s="7">
        <v>0.2</v>
      </c>
      <c r="O18" s="3">
        <v>23.3</v>
      </c>
      <c r="P18" s="8">
        <v>3.0263900000000001</v>
      </c>
      <c r="Q18" s="3">
        <v>0</v>
      </c>
      <c r="R18" s="3">
        <v>0</v>
      </c>
      <c r="S18" s="3">
        <f t="shared" si="1"/>
        <v>0.97475387143363101</v>
      </c>
      <c r="T18" s="3">
        <f t="shared" si="2"/>
        <v>9.4352599838822435</v>
      </c>
      <c r="U18" s="3"/>
      <c r="V18" s="3"/>
      <c r="W18" s="3"/>
      <c r="X18" s="3">
        <f t="shared" si="3"/>
        <v>6.1756746269806713E-2</v>
      </c>
      <c r="Y18" s="3"/>
      <c r="Z18" s="3"/>
    </row>
    <row r="19" spans="1:26" ht="16" x14ac:dyDescent="0.4">
      <c r="A19" s="3"/>
      <c r="B19" s="3" t="s">
        <v>24</v>
      </c>
      <c r="C19" s="3" t="s">
        <v>53</v>
      </c>
      <c r="D19" s="9"/>
      <c r="E19" s="3">
        <v>3.08</v>
      </c>
      <c r="F19" s="4" t="s">
        <v>26</v>
      </c>
      <c r="G19" s="3"/>
      <c r="H19" s="5">
        <f t="shared" si="0"/>
        <v>0.41428465719881774</v>
      </c>
      <c r="I19" s="3" t="s">
        <v>27</v>
      </c>
      <c r="J19" s="3"/>
      <c r="K19" t="s">
        <v>28</v>
      </c>
      <c r="L19" s="3">
        <v>4100</v>
      </c>
      <c r="M19" s="6">
        <v>1150</v>
      </c>
      <c r="N19" s="7">
        <v>0.1</v>
      </c>
      <c r="O19" s="3">
        <v>23.3</v>
      </c>
      <c r="P19" s="8">
        <v>0.76691200000000004</v>
      </c>
      <c r="Q19" s="3">
        <v>0</v>
      </c>
      <c r="R19" s="3">
        <v>0</v>
      </c>
      <c r="S19" s="3">
        <f t="shared" si="1"/>
        <v>0.66220929066280543</v>
      </c>
      <c r="T19" s="3">
        <f t="shared" si="2"/>
        <v>4.594193580792262</v>
      </c>
      <c r="U19" s="3">
        <v>3.7</v>
      </c>
      <c r="V19" s="3"/>
      <c r="W19" s="3"/>
      <c r="X19" s="3">
        <f t="shared" si="3"/>
        <v>9.0175707643423891E-2</v>
      </c>
      <c r="Y19" s="3"/>
      <c r="Z19" s="3"/>
    </row>
    <row r="20" spans="1:26" x14ac:dyDescent="0.35">
      <c r="A20" s="3"/>
      <c r="B20" s="3" t="s">
        <v>54</v>
      </c>
      <c r="C20" s="3" t="s">
        <v>55</v>
      </c>
      <c r="D20" s="3"/>
      <c r="E20" s="3">
        <v>114.449</v>
      </c>
      <c r="F20" s="4" t="s">
        <v>56</v>
      </c>
      <c r="G20" s="3"/>
      <c r="H20" s="5">
        <v>1.2</v>
      </c>
      <c r="I20" s="3" t="s">
        <v>57</v>
      </c>
      <c r="J20" s="3"/>
      <c r="K20" s="3"/>
      <c r="L20" s="3"/>
      <c r="M20" s="3"/>
      <c r="N20" s="3"/>
      <c r="O20" s="3"/>
      <c r="P20" s="3"/>
      <c r="Q20" s="3"/>
      <c r="R20" s="3"/>
      <c r="S20" s="3"/>
      <c r="T20" s="3">
        <v>10</v>
      </c>
      <c r="U20" s="3"/>
      <c r="V20" s="3"/>
      <c r="W20" s="3"/>
      <c r="X20" s="3">
        <f t="shared" si="3"/>
        <v>0.12</v>
      </c>
      <c r="Y20" s="3"/>
      <c r="Z20" s="3" t="s">
        <v>58</v>
      </c>
    </row>
    <row r="21" spans="1:26" x14ac:dyDescent="0.35">
      <c r="A21" s="3"/>
      <c r="B21" s="3"/>
      <c r="C21" s="3" t="s">
        <v>59</v>
      </c>
      <c r="D21" s="3"/>
      <c r="E21" s="3">
        <v>2.8140000000000001</v>
      </c>
      <c r="F21" s="4" t="s">
        <v>26</v>
      </c>
      <c r="G21" s="3"/>
      <c r="H21" s="5">
        <v>2</v>
      </c>
      <c r="I21" s="3" t="s">
        <v>57</v>
      </c>
      <c r="J21" s="3"/>
      <c r="K21" s="3"/>
      <c r="L21" s="3"/>
      <c r="M21" s="3"/>
      <c r="N21" s="3"/>
      <c r="O21" s="3"/>
      <c r="P21" s="3"/>
      <c r="Q21" s="3"/>
      <c r="R21" s="3"/>
      <c r="S21" s="3"/>
      <c r="T21" s="3">
        <v>10</v>
      </c>
      <c r="U21" s="3"/>
      <c r="V21" s="3"/>
      <c r="W21" s="3"/>
      <c r="X21" s="3">
        <f t="shared" si="3"/>
        <v>0.2</v>
      </c>
      <c r="Y21" s="3"/>
      <c r="Z21" s="3"/>
    </row>
    <row r="22" spans="1:26" x14ac:dyDescent="0.35">
      <c r="A22" s="3"/>
      <c r="B22" s="3"/>
      <c r="C22" s="10" t="s">
        <v>60</v>
      </c>
      <c r="D22" s="3" t="s">
        <v>61</v>
      </c>
      <c r="E22" s="3">
        <v>5878.5240000000003</v>
      </c>
      <c r="F22" s="4" t="s">
        <v>56</v>
      </c>
      <c r="G22" s="3"/>
      <c r="H22" s="5">
        <v>3</v>
      </c>
      <c r="I22" s="3" t="s">
        <v>57</v>
      </c>
      <c r="J22" s="3"/>
      <c r="K22" s="3"/>
      <c r="L22" s="3"/>
      <c r="M22" s="3"/>
      <c r="N22" s="3"/>
      <c r="O22" s="3"/>
      <c r="P22" s="3"/>
      <c r="Q22" s="3"/>
      <c r="R22" s="3"/>
      <c r="S22" s="3"/>
      <c r="T22" s="3">
        <v>5</v>
      </c>
      <c r="U22" s="3"/>
      <c r="V22" s="3"/>
      <c r="W22" s="3"/>
      <c r="X22" s="3">
        <f t="shared" si="3"/>
        <v>0.6</v>
      </c>
      <c r="Y22" s="3"/>
      <c r="Z22" s="3" t="s">
        <v>58</v>
      </c>
    </row>
    <row r="23" spans="1:26" x14ac:dyDescent="0.35">
      <c r="A23" s="3"/>
      <c r="B23" s="3"/>
      <c r="C23" s="3" t="s">
        <v>62</v>
      </c>
      <c r="D23" s="3" t="s">
        <v>63</v>
      </c>
      <c r="E23" s="3">
        <v>11.471</v>
      </c>
      <c r="F23" s="4" t="s">
        <v>56</v>
      </c>
      <c r="G23" s="3"/>
      <c r="H23" s="5">
        <v>3</v>
      </c>
      <c r="I23" s="3" t="s">
        <v>57</v>
      </c>
      <c r="J23" s="3"/>
      <c r="K23" s="3"/>
      <c r="L23" s="3"/>
      <c r="M23" s="3"/>
      <c r="N23" s="3"/>
      <c r="O23" s="3"/>
      <c r="P23" s="3"/>
      <c r="Q23" s="3"/>
      <c r="R23" s="3"/>
      <c r="S23" s="3"/>
      <c r="T23" s="3">
        <v>5</v>
      </c>
      <c r="U23" s="3"/>
      <c r="V23" s="3"/>
      <c r="W23" s="3"/>
      <c r="X23" s="3">
        <f t="shared" si="3"/>
        <v>0.6</v>
      </c>
      <c r="Y23" s="3"/>
      <c r="Z23" s="3" t="s">
        <v>58</v>
      </c>
    </row>
    <row r="24" spans="1:26" x14ac:dyDescent="0.35">
      <c r="A24" s="3"/>
      <c r="B24" s="3"/>
      <c r="C24" s="10" t="s">
        <v>64</v>
      </c>
      <c r="D24" s="3" t="s">
        <v>65</v>
      </c>
      <c r="E24" s="3">
        <v>2934.8919999999998</v>
      </c>
      <c r="F24" s="4" t="s">
        <v>66</v>
      </c>
      <c r="G24" s="3"/>
      <c r="H24" s="5">
        <v>3</v>
      </c>
      <c r="I24" s="3" t="s">
        <v>57</v>
      </c>
      <c r="J24" s="3"/>
      <c r="K24" s="3"/>
      <c r="L24" s="3"/>
      <c r="M24" s="3"/>
      <c r="N24" s="3"/>
      <c r="O24" s="3"/>
      <c r="P24" s="3"/>
      <c r="Q24" s="3"/>
      <c r="R24" s="3"/>
      <c r="S24" s="3"/>
      <c r="T24" s="3">
        <v>5</v>
      </c>
      <c r="U24" s="3"/>
      <c r="V24" s="3"/>
      <c r="W24" s="3"/>
      <c r="X24" s="3">
        <f t="shared" si="3"/>
        <v>0.6</v>
      </c>
      <c r="Y24" s="3"/>
      <c r="Z24" s="3"/>
    </row>
    <row r="25" spans="1:26" x14ac:dyDescent="0.35">
      <c r="A25" s="3"/>
      <c r="B25" s="3"/>
      <c r="C25" s="3" t="s">
        <v>67</v>
      </c>
      <c r="D25" s="3"/>
      <c r="E25" s="3">
        <v>0.38600000000000001</v>
      </c>
      <c r="F25" s="4" t="s">
        <v>26</v>
      </c>
      <c r="G25" s="3"/>
      <c r="H25" s="5">
        <v>2</v>
      </c>
      <c r="I25" s="3" t="s">
        <v>57</v>
      </c>
      <c r="J25" s="3"/>
      <c r="K25" s="3"/>
      <c r="L25" s="3"/>
      <c r="M25" s="3"/>
      <c r="N25" s="3"/>
      <c r="O25" s="3"/>
      <c r="P25" s="3"/>
      <c r="Q25" s="3"/>
      <c r="R25" s="3"/>
      <c r="S25" s="3"/>
      <c r="T25" s="3">
        <v>12</v>
      </c>
      <c r="U25" s="3"/>
      <c r="V25" s="3"/>
      <c r="W25" s="3"/>
      <c r="X25" s="3">
        <f t="shared" si="3"/>
        <v>0.16666666666666666</v>
      </c>
      <c r="Y25" s="3"/>
      <c r="Z25" s="3"/>
    </row>
    <row r="26" spans="1:26" x14ac:dyDescent="0.35">
      <c r="A26" s="3"/>
      <c r="B26" s="3" t="s">
        <v>68</v>
      </c>
      <c r="C26" s="3" t="s">
        <v>69</v>
      </c>
      <c r="D26" s="3"/>
      <c r="E26" s="3">
        <v>0.218</v>
      </c>
      <c r="F26" s="4" t="s">
        <v>66</v>
      </c>
      <c r="G26" s="3"/>
      <c r="H26" s="5">
        <v>57.3</v>
      </c>
      <c r="I26" s="3" t="s">
        <v>57</v>
      </c>
      <c r="J26" s="3" t="s">
        <v>70</v>
      </c>
      <c r="K26" s="3">
        <f>EXP(-1.429 + 0.808*LOG(0.3))*365</f>
        <v>57.306343671721216</v>
      </c>
      <c r="L26" s="3"/>
      <c r="M26" s="3"/>
      <c r="N26" s="3"/>
      <c r="O26" s="3"/>
      <c r="P26" s="3"/>
      <c r="Q26" s="3"/>
      <c r="R26" s="3"/>
      <c r="S26" s="3"/>
      <c r="T26" s="3">
        <v>100</v>
      </c>
      <c r="U26" s="3"/>
      <c r="V26" s="3"/>
      <c r="W26" s="3"/>
      <c r="X26" s="3">
        <f t="shared" si="3"/>
        <v>0.57299999999999995</v>
      </c>
      <c r="Y26" s="3"/>
      <c r="Z26" s="3"/>
    </row>
    <row r="27" spans="1:26" x14ac:dyDescent="0.35">
      <c r="A27" s="3"/>
      <c r="B27" s="3"/>
      <c r="C27" s="3" t="s">
        <v>71</v>
      </c>
      <c r="D27" s="3"/>
      <c r="E27" s="3">
        <v>30.882999999999999</v>
      </c>
      <c r="F27" s="4" t="s">
        <v>66</v>
      </c>
      <c r="G27" s="3"/>
      <c r="H27" s="5">
        <v>52.02</v>
      </c>
      <c r="I27" s="3" t="s">
        <v>72</v>
      </c>
      <c r="J27" s="3" t="s">
        <v>73</v>
      </c>
      <c r="K27" s="3">
        <f>EXP(-1.429 + 0.808*LOG(0.23))*365</f>
        <v>52.20474781614125</v>
      </c>
      <c r="L27" s="3"/>
      <c r="M27" s="3"/>
      <c r="N27" s="3"/>
      <c r="O27" s="3"/>
      <c r="P27" s="3"/>
      <c r="Q27" s="3"/>
      <c r="R27" s="3"/>
      <c r="S27" s="3"/>
      <c r="T27" s="3">
        <v>100</v>
      </c>
      <c r="U27" s="3"/>
      <c r="V27" s="3"/>
      <c r="W27" s="3"/>
      <c r="X27" s="3">
        <f t="shared" si="3"/>
        <v>0.5202</v>
      </c>
      <c r="Y27" s="3"/>
      <c r="Z27" s="3"/>
    </row>
    <row r="28" spans="1:26" x14ac:dyDescent="0.35">
      <c r="A28" s="3"/>
      <c r="B28" s="3"/>
      <c r="C28" s="3" t="s">
        <v>74</v>
      </c>
      <c r="D28" s="3"/>
      <c r="E28" s="3">
        <v>0.63600000000000001</v>
      </c>
      <c r="F28" s="4" t="s">
        <v>66</v>
      </c>
      <c r="G28" s="3"/>
      <c r="H28" s="5">
        <v>49.7</v>
      </c>
      <c r="I28" s="3" t="s">
        <v>57</v>
      </c>
      <c r="J28" s="3" t="s">
        <v>73</v>
      </c>
      <c r="K28" s="3">
        <f>EXP(-1.429 + 0.808*LOG(0.23))*365</f>
        <v>52.20474781614125</v>
      </c>
      <c r="L28" s="3"/>
      <c r="M28" s="3"/>
      <c r="N28" s="3"/>
      <c r="O28" s="3"/>
      <c r="P28" s="3"/>
      <c r="Q28" s="3"/>
      <c r="R28" s="3"/>
      <c r="S28" s="3"/>
      <c r="T28" s="3">
        <v>100</v>
      </c>
      <c r="U28" s="3"/>
      <c r="V28" s="3"/>
      <c r="W28" s="3"/>
      <c r="X28" s="3">
        <f t="shared" si="3"/>
        <v>0.49700000000000005</v>
      </c>
      <c r="Y28" s="3"/>
      <c r="Z28" s="3"/>
    </row>
    <row r="29" spans="1:26" x14ac:dyDescent="0.35">
      <c r="A29" s="3"/>
      <c r="B29" s="3"/>
      <c r="C29" s="3" t="s">
        <v>75</v>
      </c>
      <c r="D29" s="3"/>
      <c r="E29" s="3">
        <v>0.50700000000000001</v>
      </c>
      <c r="F29" s="4" t="s">
        <v>66</v>
      </c>
      <c r="G29" s="3"/>
      <c r="H29" s="5">
        <v>49.7</v>
      </c>
      <c r="I29" s="3" t="s">
        <v>57</v>
      </c>
      <c r="J29" s="3" t="s">
        <v>76</v>
      </c>
      <c r="K29" s="3">
        <f>EXP(-1.429 + 0.808*LOG(0.2))*365</f>
        <v>49.70619583789653</v>
      </c>
      <c r="L29" s="3"/>
      <c r="M29" s="3"/>
      <c r="N29" s="3"/>
      <c r="O29" s="3"/>
      <c r="P29" s="3"/>
      <c r="Q29" s="3"/>
      <c r="R29" s="3"/>
      <c r="S29" s="3"/>
      <c r="T29" s="3">
        <v>100</v>
      </c>
      <c r="U29" s="3"/>
      <c r="V29" s="3"/>
      <c r="W29" s="3"/>
      <c r="X29" s="3">
        <f t="shared" si="3"/>
        <v>0.49700000000000005</v>
      </c>
      <c r="Y29" s="3"/>
      <c r="Z29" s="3"/>
    </row>
    <row r="30" spans="1:26" x14ac:dyDescent="0.35">
      <c r="A30" s="3"/>
      <c r="B30" s="3" t="s">
        <v>77</v>
      </c>
      <c r="C30" s="10" t="s">
        <v>78</v>
      </c>
      <c r="D30" s="3"/>
      <c r="E30" s="3">
        <v>874</v>
      </c>
      <c r="F30" s="4" t="s">
        <v>79</v>
      </c>
      <c r="G30" s="3"/>
      <c r="H30" s="5">
        <v>220.005</v>
      </c>
      <c r="I30" s="3"/>
      <c r="J30" s="3"/>
      <c r="K30" s="3"/>
      <c r="L30" s="3"/>
      <c r="M30" s="3"/>
      <c r="N30" s="3"/>
      <c r="O30" s="3"/>
      <c r="P30" s="3"/>
      <c r="Q30" s="3"/>
      <c r="R30" s="3"/>
      <c r="S30" s="3"/>
      <c r="T30" s="3"/>
      <c r="U30" s="3"/>
      <c r="V30" s="3"/>
      <c r="W30" s="3"/>
      <c r="X30" s="3"/>
      <c r="Y30" s="3"/>
      <c r="Z30" s="3" t="s">
        <v>80</v>
      </c>
    </row>
    <row r="31" spans="1:26" x14ac:dyDescent="0.35">
      <c r="A31" s="3"/>
      <c r="B31" s="3"/>
      <c r="C31" s="10" t="s">
        <v>81</v>
      </c>
      <c r="D31" s="3"/>
      <c r="E31" s="3">
        <v>213.91</v>
      </c>
      <c r="F31" s="4" t="s">
        <v>82</v>
      </c>
      <c r="G31" s="3"/>
      <c r="H31" s="5">
        <v>209.87799999999999</v>
      </c>
      <c r="I31" s="3"/>
      <c r="J31" s="3"/>
      <c r="K31" s="3"/>
      <c r="L31" s="3"/>
      <c r="M31" s="3"/>
      <c r="N31" s="3"/>
      <c r="O31" s="3"/>
      <c r="P31" s="3"/>
      <c r="Q31" s="3"/>
      <c r="R31" s="3"/>
      <c r="S31" s="3"/>
      <c r="T31" s="3"/>
      <c r="U31" s="3"/>
      <c r="V31" s="3"/>
      <c r="W31" s="3"/>
      <c r="X31" s="3"/>
      <c r="Y31" s="3"/>
      <c r="Z31" s="3"/>
    </row>
    <row r="32" spans="1:26" x14ac:dyDescent="0.35">
      <c r="A32" s="3"/>
      <c r="B32" s="3"/>
      <c r="C32" s="3" t="s">
        <v>83</v>
      </c>
      <c r="D32" s="3"/>
      <c r="E32" s="3">
        <v>160.928</v>
      </c>
      <c r="F32" s="3" t="s">
        <v>84</v>
      </c>
      <c r="G32" s="3"/>
      <c r="H32" s="5">
        <v>133.22499999999999</v>
      </c>
      <c r="I32" s="3"/>
      <c r="J32" s="3"/>
      <c r="K32" s="3"/>
      <c r="L32" s="3"/>
      <c r="M32" s="3"/>
      <c r="N32" s="3"/>
      <c r="O32" s="3"/>
      <c r="P32" s="3"/>
      <c r="Q32" s="3"/>
      <c r="R32" s="3"/>
      <c r="S32" s="3"/>
      <c r="T32" s="3"/>
      <c r="U32" s="3"/>
      <c r="V32" s="3"/>
      <c r="W32" s="3"/>
      <c r="X32" s="3"/>
      <c r="Y32" s="3"/>
      <c r="Z32" s="3"/>
    </row>
    <row r="33" spans="1:26" x14ac:dyDescent="0.35">
      <c r="A33" s="3"/>
      <c r="B33" s="3"/>
      <c r="C33" s="11" t="s">
        <v>85</v>
      </c>
      <c r="D33" s="3"/>
      <c r="E33" s="3"/>
      <c r="F33" s="3"/>
      <c r="G33" s="3"/>
      <c r="H33" s="5"/>
      <c r="I33" s="3"/>
      <c r="J33" s="3"/>
      <c r="K33" s="3"/>
      <c r="L33" s="3"/>
      <c r="M33" s="3"/>
      <c r="N33" s="3"/>
      <c r="O33" s="3"/>
      <c r="P33" s="3"/>
      <c r="Q33" s="3"/>
      <c r="R33" s="3"/>
      <c r="S33" s="3"/>
      <c r="T33" s="3"/>
      <c r="U33" s="3"/>
      <c r="V33" s="3"/>
      <c r="W33" s="3"/>
      <c r="X33" s="3"/>
      <c r="Y33" s="3"/>
      <c r="Z33" s="3"/>
    </row>
    <row r="34" spans="1:26" x14ac:dyDescent="0.35">
      <c r="A34" s="3"/>
      <c r="B34" s="3"/>
      <c r="C34" s="11" t="s">
        <v>86</v>
      </c>
      <c r="D34" s="3"/>
      <c r="E34" s="3"/>
      <c r="F34" s="3"/>
      <c r="G34" s="3"/>
      <c r="H34" s="5"/>
      <c r="I34" s="3"/>
      <c r="J34" s="3"/>
      <c r="K34" s="3"/>
      <c r="L34" s="3"/>
      <c r="M34" s="3"/>
      <c r="N34" s="3"/>
      <c r="O34" s="3"/>
      <c r="P34" s="3"/>
      <c r="Q34" s="3"/>
      <c r="R34" s="3"/>
      <c r="S34" s="3"/>
      <c r="T34" s="3"/>
      <c r="U34" s="3"/>
      <c r="V34" s="3"/>
      <c r="W34" s="3"/>
      <c r="X34" s="3"/>
      <c r="Y34" s="3"/>
      <c r="Z34" s="3"/>
    </row>
    <row r="35" spans="1:26" x14ac:dyDescent="0.35">
      <c r="A35" s="3"/>
      <c r="B35" s="3" t="s">
        <v>87</v>
      </c>
      <c r="C35" s="3" t="s">
        <v>87</v>
      </c>
      <c r="D35" s="3" t="s">
        <v>88</v>
      </c>
      <c r="E35" s="3"/>
      <c r="F35" s="3"/>
      <c r="G35" s="3"/>
      <c r="H35" s="5"/>
      <c r="I35" s="3"/>
      <c r="J35" s="3"/>
      <c r="K35" s="3"/>
      <c r="L35" s="3"/>
      <c r="M35" s="3"/>
      <c r="N35" s="3"/>
      <c r="O35" s="3"/>
      <c r="P35" s="3"/>
      <c r="Q35" s="3"/>
      <c r="R35" s="3"/>
      <c r="S35" s="3"/>
      <c r="T35" s="3"/>
      <c r="U35" s="3"/>
      <c r="V35" s="3"/>
      <c r="W35" s="3"/>
      <c r="X35" s="3"/>
      <c r="Y35" s="3"/>
      <c r="Z35" s="3"/>
    </row>
    <row r="36" spans="1:26" ht="188.5" x14ac:dyDescent="0.35">
      <c r="A36" s="3"/>
      <c r="B36" s="3"/>
      <c r="C36" s="3" t="s">
        <v>89</v>
      </c>
      <c r="D36" s="3"/>
      <c r="E36" s="3"/>
      <c r="F36" s="3"/>
      <c r="G36" s="3"/>
      <c r="H36" s="12" t="str">
        <f>ROUND(H2,4)&amp;","&amp;ROUND(H3,4)&amp;","&amp;ROUND(H4,4)&amp;","&amp;ROUND(H5,4)&amp;","&amp;ROUND(H6,4)&amp;","&amp;ROUND(H7,4)&amp;","&amp;ROUND(H8,4)&amp;","&amp;ROUND(H9,4)&amp;","&amp;ROUND(H10,4)&amp;","&amp;ROUND(H11,4)&amp;","&amp;ROUND(H12,4)&amp;","&amp;ROUND(H13,4)&amp;","&amp;ROUND(H15,4)&amp;","&amp;ROUND(H16,4)&amp;","&amp;ROUND(H17,4)&amp;","&amp;ROUND(H18,4)&amp;","&amp;ROUND(H19,4)&amp;","&amp;ROUND(H20,4)&amp;","&amp;ROUND(H21,4)&amp;","&amp;ROUND(H22,4)&amp;","&amp;ROUND(H23,4)&amp;","&amp;ROUND(H24,4)&amp;","&amp;ROUND(H25,4)&amp;","&amp;ROUND(H26,4)&amp;","&amp;ROUND(H27,4)&amp;","&amp;ROUND(H28,4)&amp;","&amp;ROUND(H29,4)&amp;","&amp;ROUND(H30,4)&amp;","&amp;ROUND(H31,4)&amp;","&amp;ROUND(H32,4)&amp;","&amp;ROUND(H35,4)&amp;",NA"</f>
        <v>0.5304,0.5304,0.6778,1.1225,0.7997,1.0595,0.7837,0.5815,0.5272,0.5721,0.4994,0.4994,0.6997,0.6851,0.5504,0.5827,0.4143,1.2,2,3,3,3,2,57.3,52.02,49.7,49.7,220.005,209.878,133.225,0,NA</v>
      </c>
      <c r="I36" s="3"/>
      <c r="J36" s="3"/>
      <c r="K36" s="3"/>
      <c r="L36" s="3"/>
      <c r="M36" s="3"/>
      <c r="N36" s="3"/>
      <c r="O36" s="3"/>
      <c r="P36" s="3"/>
      <c r="Q36" s="3"/>
      <c r="R36" s="3"/>
      <c r="S36" s="3"/>
      <c r="T36" s="3"/>
      <c r="U36" s="3"/>
      <c r="V36" s="3"/>
      <c r="W36" s="3"/>
      <c r="X36" s="3"/>
      <c r="Y36" s="3"/>
      <c r="Z36" s="3"/>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0776B-D387-4A99-8EF1-CBCC147CD9BF}">
  <dimension ref="A1:M18"/>
  <sheetViews>
    <sheetView workbookViewId="0">
      <selection activeCell="A12" sqref="A12"/>
    </sheetView>
  </sheetViews>
  <sheetFormatPr defaultRowHeight="14.5" x14ac:dyDescent="0.35"/>
  <cols>
    <col min="1" max="1" width="23.26953125" bestFit="1" customWidth="1"/>
    <col min="2" max="2" width="23.26953125" customWidth="1"/>
    <col min="3" max="3" width="17" bestFit="1" customWidth="1"/>
    <col min="4" max="4" width="5.453125" customWidth="1"/>
    <col min="5" max="5" width="13.26953125" bestFit="1" customWidth="1"/>
    <col min="6" max="7" width="12" bestFit="1" customWidth="1"/>
  </cols>
  <sheetData>
    <row r="1" spans="1:13" x14ac:dyDescent="0.35">
      <c r="A1" s="1" t="s">
        <v>96</v>
      </c>
      <c r="B1" s="1" t="s">
        <v>155</v>
      </c>
      <c r="C1" s="1" t="s">
        <v>157</v>
      </c>
      <c r="D1" s="1" t="s">
        <v>6</v>
      </c>
      <c r="E1" s="2" t="s">
        <v>158</v>
      </c>
      <c r="F1" s="1" t="s">
        <v>18</v>
      </c>
      <c r="G1" s="1" t="s">
        <v>159</v>
      </c>
      <c r="H1" t="s">
        <v>160</v>
      </c>
      <c r="I1" t="s">
        <v>161</v>
      </c>
      <c r="J1" t="s">
        <v>162</v>
      </c>
      <c r="K1" t="s">
        <v>87</v>
      </c>
      <c r="L1" t="s">
        <v>163</v>
      </c>
      <c r="M1" t="s">
        <v>164</v>
      </c>
    </row>
    <row r="2" spans="1:13" x14ac:dyDescent="0.35">
      <c r="A2" s="3" t="s">
        <v>55</v>
      </c>
      <c r="B2" s="3">
        <v>0</v>
      </c>
      <c r="C2" s="3">
        <v>114</v>
      </c>
      <c r="D2" t="s">
        <v>156</v>
      </c>
      <c r="E2" s="5">
        <v>1.2</v>
      </c>
      <c r="F2" s="3">
        <v>10</v>
      </c>
      <c r="G2" s="3">
        <f t="shared" ref="G2:G11" si="0">E2/F2</f>
        <v>0.12</v>
      </c>
      <c r="H2">
        <v>0</v>
      </c>
      <c r="I2">
        <v>0.2</v>
      </c>
      <c r="J2">
        <v>0</v>
      </c>
      <c r="K2">
        <v>1</v>
      </c>
      <c r="L2" s="3">
        <v>0</v>
      </c>
      <c r="M2" s="3">
        <v>0</v>
      </c>
    </row>
    <row r="3" spans="1:13" x14ac:dyDescent="0.35">
      <c r="A3" s="3" t="s">
        <v>143</v>
      </c>
      <c r="B3" s="3">
        <v>0</v>
      </c>
      <c r="C3" s="3">
        <v>15</v>
      </c>
      <c r="D3" t="s">
        <v>156</v>
      </c>
      <c r="E3" s="5">
        <v>3</v>
      </c>
      <c r="F3" s="3">
        <v>10</v>
      </c>
      <c r="G3" s="3">
        <f t="shared" ref="G3" si="1">E3/F3</f>
        <v>0.3</v>
      </c>
      <c r="H3">
        <v>0</v>
      </c>
      <c r="I3">
        <v>0.2</v>
      </c>
      <c r="J3">
        <v>0</v>
      </c>
      <c r="K3">
        <v>1</v>
      </c>
      <c r="L3" s="3">
        <v>0</v>
      </c>
      <c r="M3" s="3">
        <v>0</v>
      </c>
    </row>
    <row r="4" spans="1:13" x14ac:dyDescent="0.35">
      <c r="A4" s="3" t="s">
        <v>165</v>
      </c>
      <c r="B4" s="3">
        <v>0</v>
      </c>
      <c r="C4" s="3">
        <v>0.2</v>
      </c>
      <c r="D4" t="s">
        <v>156</v>
      </c>
      <c r="E4" s="5">
        <v>30</v>
      </c>
      <c r="F4" s="3">
        <v>100</v>
      </c>
      <c r="G4" s="3">
        <v>0.5</v>
      </c>
      <c r="H4">
        <v>0</v>
      </c>
      <c r="I4">
        <v>0.2</v>
      </c>
      <c r="J4">
        <v>0</v>
      </c>
      <c r="K4">
        <v>1</v>
      </c>
      <c r="L4" s="3">
        <v>0</v>
      </c>
      <c r="M4" s="3">
        <v>0</v>
      </c>
    </row>
    <row r="5" spans="1:13" x14ac:dyDescent="0.35">
      <c r="A5" s="3" t="s">
        <v>166</v>
      </c>
      <c r="B5" s="3">
        <v>0</v>
      </c>
      <c r="C5" s="3">
        <v>15</v>
      </c>
      <c r="D5" t="s">
        <v>156</v>
      </c>
      <c r="E5" s="5">
        <v>50</v>
      </c>
      <c r="F5" s="3">
        <v>100</v>
      </c>
      <c r="G5" s="3">
        <v>0.5</v>
      </c>
      <c r="H5">
        <v>0</v>
      </c>
      <c r="I5">
        <v>0.2</v>
      </c>
      <c r="J5">
        <v>0</v>
      </c>
      <c r="K5">
        <v>1</v>
      </c>
      <c r="L5" s="3">
        <v>0</v>
      </c>
      <c r="M5" s="3">
        <v>0</v>
      </c>
    </row>
    <row r="6" spans="1:13" x14ac:dyDescent="0.35">
      <c r="A6" s="3" t="s">
        <v>167</v>
      </c>
      <c r="B6" s="3">
        <v>0</v>
      </c>
      <c r="C6" s="3">
        <v>1</v>
      </c>
      <c r="D6" t="s">
        <v>156</v>
      </c>
      <c r="E6" s="5">
        <v>50</v>
      </c>
      <c r="F6" s="3">
        <v>100</v>
      </c>
      <c r="G6" s="3">
        <v>0.5</v>
      </c>
      <c r="H6">
        <v>0</v>
      </c>
      <c r="I6">
        <v>0.2</v>
      </c>
      <c r="J6">
        <v>0</v>
      </c>
      <c r="K6">
        <v>1</v>
      </c>
      <c r="L6" s="3">
        <v>0</v>
      </c>
      <c r="M6" s="3">
        <v>0</v>
      </c>
    </row>
    <row r="7" spans="1:13" x14ac:dyDescent="0.35">
      <c r="A7" s="3" t="s">
        <v>69</v>
      </c>
      <c r="B7" s="3">
        <v>0</v>
      </c>
      <c r="C7" s="3">
        <v>1</v>
      </c>
      <c r="D7" t="s">
        <v>156</v>
      </c>
      <c r="E7" s="5">
        <v>57.3</v>
      </c>
      <c r="F7" s="3">
        <v>100</v>
      </c>
      <c r="G7" s="3">
        <f>E7/F7</f>
        <v>0.57299999999999995</v>
      </c>
      <c r="H7">
        <v>0</v>
      </c>
      <c r="I7">
        <v>0.2</v>
      </c>
      <c r="J7">
        <v>0</v>
      </c>
      <c r="K7">
        <v>1</v>
      </c>
      <c r="L7" s="3">
        <v>0</v>
      </c>
      <c r="M7" s="3">
        <v>0</v>
      </c>
    </row>
    <row r="8" spans="1:13" x14ac:dyDescent="0.35">
      <c r="A8" s="3" t="s">
        <v>182</v>
      </c>
      <c r="B8" s="3">
        <v>0</v>
      </c>
      <c r="C8" s="3">
        <v>5878.5240000000003</v>
      </c>
      <c r="D8" t="s">
        <v>156</v>
      </c>
      <c r="E8" s="5">
        <v>3</v>
      </c>
      <c r="F8" s="3">
        <v>5</v>
      </c>
      <c r="G8" s="3">
        <f t="shared" si="0"/>
        <v>0.6</v>
      </c>
      <c r="H8">
        <v>0</v>
      </c>
      <c r="I8">
        <v>0.2</v>
      </c>
      <c r="J8">
        <v>0</v>
      </c>
      <c r="K8">
        <v>1</v>
      </c>
      <c r="L8" s="3">
        <v>0</v>
      </c>
      <c r="M8" s="3">
        <v>0</v>
      </c>
    </row>
    <row r="9" spans="1:13" x14ac:dyDescent="0.35">
      <c r="A9" s="3" t="s">
        <v>183</v>
      </c>
      <c r="B9" s="3">
        <v>0</v>
      </c>
      <c r="C9" s="3">
        <v>11.471</v>
      </c>
      <c r="D9" t="s">
        <v>156</v>
      </c>
      <c r="E9" s="5">
        <v>3</v>
      </c>
      <c r="F9" s="3">
        <v>5</v>
      </c>
      <c r="G9" s="3">
        <f t="shared" si="0"/>
        <v>0.6</v>
      </c>
      <c r="H9">
        <v>0</v>
      </c>
      <c r="I9">
        <v>0.2</v>
      </c>
      <c r="J9">
        <v>0</v>
      </c>
      <c r="K9">
        <v>1</v>
      </c>
      <c r="L9" s="3">
        <v>0</v>
      </c>
      <c r="M9" s="3">
        <v>0</v>
      </c>
    </row>
    <row r="10" spans="1:13" x14ac:dyDescent="0.35">
      <c r="A10" s="3" t="s">
        <v>170</v>
      </c>
      <c r="B10" s="3">
        <v>0</v>
      </c>
      <c r="C10">
        <v>25</v>
      </c>
      <c r="D10" t="s">
        <v>156</v>
      </c>
      <c r="E10" s="5">
        <v>10</v>
      </c>
      <c r="F10" s="3">
        <v>5</v>
      </c>
      <c r="G10" s="3">
        <f t="shared" si="0"/>
        <v>2</v>
      </c>
      <c r="H10">
        <v>0</v>
      </c>
      <c r="I10">
        <v>0.2</v>
      </c>
      <c r="J10">
        <v>0</v>
      </c>
      <c r="K10">
        <v>1</v>
      </c>
      <c r="L10" s="3">
        <v>0</v>
      </c>
      <c r="M10" s="3">
        <v>0</v>
      </c>
    </row>
    <row r="11" spans="1:13" x14ac:dyDescent="0.35">
      <c r="A11" s="3" t="s">
        <v>190</v>
      </c>
      <c r="B11" s="3">
        <v>0</v>
      </c>
      <c r="C11" s="3">
        <v>0.01</v>
      </c>
      <c r="D11" t="s">
        <v>156</v>
      </c>
      <c r="E11" s="5">
        <v>3</v>
      </c>
      <c r="F11" s="3">
        <v>5</v>
      </c>
      <c r="G11" s="3">
        <f t="shared" si="0"/>
        <v>0.6</v>
      </c>
      <c r="H11">
        <v>0</v>
      </c>
      <c r="I11">
        <v>0.2</v>
      </c>
      <c r="J11">
        <v>0</v>
      </c>
      <c r="K11">
        <v>1</v>
      </c>
      <c r="L11" s="3">
        <v>0</v>
      </c>
      <c r="M11" s="3">
        <v>0</v>
      </c>
    </row>
    <row r="12" spans="1:13" x14ac:dyDescent="0.35">
      <c r="A12" s="3" t="s">
        <v>78</v>
      </c>
      <c r="B12" s="3">
        <v>1</v>
      </c>
      <c r="C12" s="3">
        <v>874</v>
      </c>
      <c r="D12" s="3">
        <v>0.1</v>
      </c>
      <c r="E12" s="5">
        <v>220.005</v>
      </c>
      <c r="F12" s="3" t="s">
        <v>156</v>
      </c>
      <c r="G12" s="3" t="s">
        <v>156</v>
      </c>
      <c r="H12">
        <v>0</v>
      </c>
      <c r="I12" s="3">
        <v>0.9</v>
      </c>
      <c r="J12">
        <v>0</v>
      </c>
      <c r="K12">
        <v>1</v>
      </c>
      <c r="L12" s="3">
        <v>0</v>
      </c>
      <c r="M12" s="3">
        <v>0</v>
      </c>
    </row>
    <row r="13" spans="1:13" x14ac:dyDescent="0.35">
      <c r="A13" s="3" t="s">
        <v>81</v>
      </c>
      <c r="B13" s="3">
        <v>1</v>
      </c>
      <c r="C13" s="3">
        <v>213.91</v>
      </c>
      <c r="D13" s="3">
        <v>0.8</v>
      </c>
      <c r="E13" s="5">
        <v>209.87799999999999</v>
      </c>
      <c r="F13" s="3" t="s">
        <v>156</v>
      </c>
      <c r="G13" s="3" t="s">
        <v>156</v>
      </c>
      <c r="H13">
        <v>0</v>
      </c>
      <c r="I13" s="3">
        <v>0.2</v>
      </c>
      <c r="J13">
        <v>0</v>
      </c>
      <c r="K13">
        <v>1</v>
      </c>
      <c r="L13" s="3">
        <v>0</v>
      </c>
      <c r="M13" s="3">
        <v>0</v>
      </c>
    </row>
    <row r="14" spans="1:13" x14ac:dyDescent="0.35">
      <c r="A14" s="3" t="s">
        <v>83</v>
      </c>
      <c r="B14" s="3">
        <v>1</v>
      </c>
      <c r="C14" s="3">
        <v>160.928</v>
      </c>
      <c r="D14" s="3">
        <v>0.8</v>
      </c>
      <c r="E14" s="5">
        <v>133.22499999999999</v>
      </c>
      <c r="F14" s="3" t="s">
        <v>156</v>
      </c>
      <c r="G14" s="3" t="s">
        <v>156</v>
      </c>
      <c r="H14">
        <v>0</v>
      </c>
      <c r="I14" s="3">
        <v>0.2</v>
      </c>
      <c r="J14">
        <v>0</v>
      </c>
      <c r="K14">
        <v>1</v>
      </c>
      <c r="L14" s="3">
        <v>0</v>
      </c>
      <c r="M14" s="3">
        <v>0</v>
      </c>
    </row>
    <row r="15" spans="1:13" x14ac:dyDescent="0.35">
      <c r="A15" s="3" t="s">
        <v>85</v>
      </c>
      <c r="B15" s="3">
        <v>1</v>
      </c>
      <c r="C15" s="3">
        <v>2000</v>
      </c>
      <c r="D15" s="3">
        <v>0.05</v>
      </c>
      <c r="E15" s="5">
        <v>2</v>
      </c>
      <c r="F15" s="3" t="s">
        <v>156</v>
      </c>
      <c r="G15" s="3" t="s">
        <v>156</v>
      </c>
      <c r="H15">
        <v>0</v>
      </c>
      <c r="I15" s="3">
        <v>0.9</v>
      </c>
      <c r="J15">
        <v>0</v>
      </c>
      <c r="K15">
        <v>1</v>
      </c>
      <c r="L15" s="3">
        <v>0</v>
      </c>
      <c r="M15" s="3">
        <v>0</v>
      </c>
    </row>
    <row r="16" spans="1:13" x14ac:dyDescent="0.35">
      <c r="A16" s="3" t="s">
        <v>86</v>
      </c>
      <c r="B16" s="3">
        <v>1</v>
      </c>
      <c r="C16" s="3">
        <v>15</v>
      </c>
      <c r="D16" s="3">
        <v>0.1</v>
      </c>
      <c r="E16" s="5">
        <v>6</v>
      </c>
      <c r="F16" s="3" t="s">
        <v>156</v>
      </c>
      <c r="G16" s="3" t="s">
        <v>156</v>
      </c>
      <c r="H16">
        <v>0</v>
      </c>
      <c r="I16" s="3">
        <v>0.9</v>
      </c>
      <c r="J16">
        <v>0</v>
      </c>
      <c r="K16">
        <v>1</v>
      </c>
      <c r="L16" s="3">
        <v>0</v>
      </c>
      <c r="M16" s="3">
        <v>0</v>
      </c>
    </row>
    <row r="17" spans="1:13" x14ac:dyDescent="0.35">
      <c r="A17" s="3" t="s">
        <v>87</v>
      </c>
      <c r="B17" s="3">
        <v>2</v>
      </c>
      <c r="C17" s="3" t="s">
        <v>156</v>
      </c>
      <c r="D17" s="3" t="s">
        <v>156</v>
      </c>
      <c r="E17" s="5" t="s">
        <v>156</v>
      </c>
      <c r="F17" s="3" t="s">
        <v>156</v>
      </c>
      <c r="G17" s="3" t="s">
        <v>156</v>
      </c>
      <c r="H17">
        <v>1000</v>
      </c>
      <c r="I17" s="3">
        <v>0.9</v>
      </c>
      <c r="J17">
        <v>0</v>
      </c>
      <c r="K17">
        <v>1</v>
      </c>
      <c r="L17" s="3">
        <v>0</v>
      </c>
      <c r="M17" s="3">
        <v>0</v>
      </c>
    </row>
    <row r="18" spans="1:13" x14ac:dyDescent="0.35">
      <c r="A18" s="3" t="s">
        <v>163</v>
      </c>
      <c r="B18" s="3">
        <v>3</v>
      </c>
      <c r="C18" s="3" t="s">
        <v>156</v>
      </c>
      <c r="D18" s="3" t="s">
        <v>156</v>
      </c>
      <c r="E18" s="5" t="s">
        <v>156</v>
      </c>
      <c r="F18" s="3" t="s">
        <v>156</v>
      </c>
      <c r="G18" s="3" t="s">
        <v>156</v>
      </c>
      <c r="H18" t="s">
        <v>156</v>
      </c>
      <c r="I18" s="3" t="s">
        <v>156</v>
      </c>
      <c r="J18">
        <v>0</v>
      </c>
      <c r="K18">
        <v>1</v>
      </c>
      <c r="L18" s="3">
        <v>0</v>
      </c>
      <c r="M18" s="3">
        <v>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5226-D191-481E-B450-083710A2914C}">
  <dimension ref="A1:D45"/>
  <sheetViews>
    <sheetView tabSelected="1" workbookViewId="0">
      <selection activeCell="B2" sqref="B2"/>
    </sheetView>
  </sheetViews>
  <sheetFormatPr defaultRowHeight="14.5" x14ac:dyDescent="0.35"/>
  <cols>
    <col min="1" max="1" width="18.54296875" customWidth="1"/>
    <col min="3" max="3" width="23.26953125" bestFit="1" customWidth="1"/>
  </cols>
  <sheetData>
    <row r="1" spans="1:4" x14ac:dyDescent="0.35">
      <c r="A1" t="s">
        <v>112</v>
      </c>
      <c r="B1" t="s">
        <v>192</v>
      </c>
      <c r="C1" s="1" t="s">
        <v>96</v>
      </c>
      <c r="D1" t="s">
        <v>157</v>
      </c>
    </row>
    <row r="2" spans="1:4" x14ac:dyDescent="0.35">
      <c r="A2" t="s">
        <v>187</v>
      </c>
      <c r="B2" t="s">
        <v>188</v>
      </c>
      <c r="C2" s="3" t="s">
        <v>170</v>
      </c>
      <c r="D2">
        <v>50</v>
      </c>
    </row>
    <row r="3" spans="1:4" x14ac:dyDescent="0.35">
      <c r="A3" t="s">
        <v>169</v>
      </c>
      <c r="B3" t="s">
        <v>188</v>
      </c>
      <c r="C3" s="3" t="s">
        <v>170</v>
      </c>
      <c r="D3">
        <v>50</v>
      </c>
    </row>
    <row r="4" spans="1:4" x14ac:dyDescent="0.35">
      <c r="A4" t="s">
        <v>185</v>
      </c>
      <c r="B4" t="s">
        <v>188</v>
      </c>
      <c r="C4" s="3" t="s">
        <v>170</v>
      </c>
      <c r="D4">
        <v>40</v>
      </c>
    </row>
    <row r="5" spans="1:4" x14ac:dyDescent="0.35">
      <c r="A5" t="s">
        <v>186</v>
      </c>
      <c r="B5" t="s">
        <v>188</v>
      </c>
      <c r="C5" s="3" t="s">
        <v>170</v>
      </c>
      <c r="D5">
        <v>1</v>
      </c>
    </row>
    <row r="6" spans="1:4" x14ac:dyDescent="0.35">
      <c r="A6" t="s">
        <v>187</v>
      </c>
      <c r="B6" t="s">
        <v>189</v>
      </c>
      <c r="C6" s="3" t="s">
        <v>170</v>
      </c>
      <c r="D6">
        <v>20</v>
      </c>
    </row>
    <row r="7" spans="1:4" x14ac:dyDescent="0.35">
      <c r="A7" t="s">
        <v>169</v>
      </c>
      <c r="B7" t="s">
        <v>189</v>
      </c>
      <c r="C7" s="3" t="s">
        <v>170</v>
      </c>
      <c r="D7">
        <v>20</v>
      </c>
    </row>
    <row r="8" spans="1:4" x14ac:dyDescent="0.35">
      <c r="A8" t="s">
        <v>185</v>
      </c>
      <c r="B8" t="s">
        <v>189</v>
      </c>
      <c r="C8" s="3" t="s">
        <v>170</v>
      </c>
      <c r="D8">
        <v>40</v>
      </c>
    </row>
    <row r="9" spans="1:4" x14ac:dyDescent="0.35">
      <c r="A9" t="s">
        <v>186</v>
      </c>
      <c r="B9" t="s">
        <v>189</v>
      </c>
      <c r="C9" s="3" t="s">
        <v>170</v>
      </c>
      <c r="D9">
        <v>0</v>
      </c>
    </row>
    <row r="10" spans="1:4" x14ac:dyDescent="0.35">
      <c r="A10" t="s">
        <v>187</v>
      </c>
      <c r="B10" t="s">
        <v>188</v>
      </c>
      <c r="C10" s="3" t="s">
        <v>190</v>
      </c>
      <c r="D10">
        <v>0.1</v>
      </c>
    </row>
    <row r="11" spans="1:4" x14ac:dyDescent="0.35">
      <c r="A11" t="s">
        <v>169</v>
      </c>
      <c r="B11" t="s">
        <v>188</v>
      </c>
      <c r="C11" s="3" t="s">
        <v>190</v>
      </c>
      <c r="D11">
        <v>0.1</v>
      </c>
    </row>
    <row r="12" spans="1:4" x14ac:dyDescent="0.35">
      <c r="A12" t="s">
        <v>185</v>
      </c>
      <c r="B12" t="s">
        <v>188</v>
      </c>
      <c r="C12" s="3" t="s">
        <v>190</v>
      </c>
      <c r="D12">
        <v>0.1</v>
      </c>
    </row>
    <row r="13" spans="1:4" x14ac:dyDescent="0.35">
      <c r="A13" t="s">
        <v>186</v>
      </c>
      <c r="B13" t="s">
        <v>188</v>
      </c>
      <c r="C13" s="3" t="s">
        <v>190</v>
      </c>
      <c r="D13">
        <v>0</v>
      </c>
    </row>
    <row r="14" spans="1:4" x14ac:dyDescent="0.35">
      <c r="A14" t="s">
        <v>187</v>
      </c>
      <c r="B14" t="s">
        <v>189</v>
      </c>
      <c r="C14" s="3" t="s">
        <v>190</v>
      </c>
      <c r="D14">
        <v>0.05</v>
      </c>
    </row>
    <row r="15" spans="1:4" x14ac:dyDescent="0.35">
      <c r="A15" t="s">
        <v>169</v>
      </c>
      <c r="B15" t="s">
        <v>189</v>
      </c>
      <c r="C15" s="3" t="s">
        <v>190</v>
      </c>
      <c r="D15">
        <v>0.05</v>
      </c>
    </row>
    <row r="16" spans="1:4" x14ac:dyDescent="0.35">
      <c r="A16" t="s">
        <v>185</v>
      </c>
      <c r="B16" t="s">
        <v>189</v>
      </c>
      <c r="C16" s="3" t="s">
        <v>190</v>
      </c>
      <c r="D16">
        <v>0.05</v>
      </c>
    </row>
    <row r="17" spans="1:4" x14ac:dyDescent="0.35">
      <c r="A17" t="s">
        <v>186</v>
      </c>
      <c r="B17" t="s">
        <v>189</v>
      </c>
      <c r="C17" s="3" t="s">
        <v>190</v>
      </c>
      <c r="D17">
        <v>0</v>
      </c>
    </row>
    <row r="18" spans="1:4" x14ac:dyDescent="0.35">
      <c r="C18" s="3"/>
    </row>
    <row r="19" spans="1:4" x14ac:dyDescent="0.35">
      <c r="C19" s="3"/>
    </row>
    <row r="20" spans="1:4" x14ac:dyDescent="0.35">
      <c r="C20" s="3"/>
    </row>
    <row r="21" spans="1:4" x14ac:dyDescent="0.35">
      <c r="C21" s="3"/>
    </row>
    <row r="22" spans="1:4" x14ac:dyDescent="0.35">
      <c r="C22" s="3"/>
    </row>
    <row r="23" spans="1:4" x14ac:dyDescent="0.35">
      <c r="C23" s="3"/>
    </row>
    <row r="24" spans="1:4" x14ac:dyDescent="0.35">
      <c r="C24" s="3"/>
    </row>
    <row r="25" spans="1:4" x14ac:dyDescent="0.35">
      <c r="C25" s="3"/>
    </row>
    <row r="26" spans="1:4" x14ac:dyDescent="0.35">
      <c r="C26" s="3"/>
    </row>
    <row r="27" spans="1:4" x14ac:dyDescent="0.35">
      <c r="C27" s="3"/>
    </row>
    <row r="28" spans="1:4" x14ac:dyDescent="0.35">
      <c r="C28" s="3"/>
    </row>
    <row r="29" spans="1:4" x14ac:dyDescent="0.35">
      <c r="C29" s="3"/>
    </row>
    <row r="30" spans="1:4" x14ac:dyDescent="0.35">
      <c r="C30" s="3"/>
    </row>
    <row r="31" spans="1:4" x14ac:dyDescent="0.35">
      <c r="C31" s="3"/>
    </row>
    <row r="32" spans="1:4" x14ac:dyDescent="0.35">
      <c r="C32" s="3"/>
    </row>
    <row r="33" spans="3:3" x14ac:dyDescent="0.35">
      <c r="C33" s="3"/>
    </row>
    <row r="34" spans="3:3" x14ac:dyDescent="0.35">
      <c r="C34" s="3"/>
    </row>
    <row r="35" spans="3:3" x14ac:dyDescent="0.35">
      <c r="C35" s="3"/>
    </row>
    <row r="36" spans="3:3" x14ac:dyDescent="0.35">
      <c r="C36" s="3"/>
    </row>
    <row r="37" spans="3:3" x14ac:dyDescent="0.35">
      <c r="C37" s="3"/>
    </row>
    <row r="38" spans="3:3" x14ac:dyDescent="0.35">
      <c r="C38" s="3"/>
    </row>
    <row r="39" spans="3:3" x14ac:dyDescent="0.35">
      <c r="C39" s="3"/>
    </row>
    <row r="40" spans="3:3" x14ac:dyDescent="0.35">
      <c r="C40" s="3"/>
    </row>
    <row r="41" spans="3:3" x14ac:dyDescent="0.35">
      <c r="C41" s="3"/>
    </row>
    <row r="42" spans="3:3" x14ac:dyDescent="0.35">
      <c r="C42" s="3"/>
    </row>
    <row r="43" spans="3:3" x14ac:dyDescent="0.35">
      <c r="C43" s="3"/>
    </row>
    <row r="44" spans="3:3" x14ac:dyDescent="0.35">
      <c r="C44" s="3"/>
    </row>
    <row r="45" spans="3:3" x14ac:dyDescent="0.35">
      <c r="C45" s="3"/>
    </row>
  </sheetData>
  <sortState xmlns:xlrd2="http://schemas.microsoft.com/office/spreadsheetml/2017/richdata2" ref="A2:G45">
    <sortCondition ref="C2:C45"/>
    <sortCondition ref="A2:A4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7B781-AD72-4DC8-A4BE-7CF19625E49F}">
  <dimension ref="A1:R18"/>
  <sheetViews>
    <sheetView zoomScale="90" zoomScaleNormal="90" workbookViewId="0">
      <selection activeCell="A12" sqref="A12"/>
    </sheetView>
  </sheetViews>
  <sheetFormatPr defaultRowHeight="14.5" x14ac:dyDescent="0.35"/>
  <cols>
    <col min="1" max="1" width="21.1796875" style="15" customWidth="1"/>
    <col min="3" max="3" width="13.81640625" customWidth="1"/>
    <col min="4" max="4" width="15.54296875" customWidth="1"/>
    <col min="5" max="5" width="21.1796875" customWidth="1"/>
    <col min="6" max="8" width="12.81640625" customWidth="1"/>
    <col min="9" max="9" width="11.7265625" customWidth="1"/>
    <col min="10" max="10" width="18" customWidth="1"/>
    <col min="11" max="11" width="13.36328125" customWidth="1"/>
    <col min="13" max="13" width="16.08984375" customWidth="1"/>
    <col min="14" max="14" width="15.26953125" customWidth="1"/>
    <col min="15" max="15" width="12.7265625" customWidth="1"/>
    <col min="16" max="16" width="15" customWidth="1"/>
  </cols>
  <sheetData>
    <row r="1" spans="1:18" x14ac:dyDescent="0.35">
      <c r="A1" t="s">
        <v>96</v>
      </c>
      <c r="B1" s="3" t="s">
        <v>55</v>
      </c>
      <c r="C1" s="3" t="s">
        <v>143</v>
      </c>
      <c r="D1" s="3" t="s">
        <v>165</v>
      </c>
      <c r="E1" s="3" t="s">
        <v>166</v>
      </c>
      <c r="F1" s="3" t="s">
        <v>167</v>
      </c>
      <c r="G1" s="3" t="s">
        <v>69</v>
      </c>
      <c r="H1" s="3" t="s">
        <v>184</v>
      </c>
      <c r="I1" s="3" t="s">
        <v>183</v>
      </c>
      <c r="J1" s="3" t="s">
        <v>170</v>
      </c>
      <c r="K1" s="3" t="s">
        <v>190</v>
      </c>
      <c r="L1" s="3" t="s">
        <v>78</v>
      </c>
      <c r="M1" s="3" t="s">
        <v>81</v>
      </c>
      <c r="N1" s="3" t="s">
        <v>83</v>
      </c>
      <c r="O1" s="3" t="s">
        <v>85</v>
      </c>
      <c r="P1" s="3" t="s">
        <v>86</v>
      </c>
      <c r="Q1" s="3"/>
      <c r="R1" s="3"/>
    </row>
    <row r="2" spans="1:18" x14ac:dyDescent="0.35">
      <c r="A2" s="3" t="s">
        <v>55</v>
      </c>
    </row>
    <row r="3" spans="1:18" x14ac:dyDescent="0.35">
      <c r="A3" s="3" t="s">
        <v>143</v>
      </c>
    </row>
    <row r="4" spans="1:18" x14ac:dyDescent="0.35">
      <c r="A4" s="3" t="s">
        <v>165</v>
      </c>
    </row>
    <row r="5" spans="1:18" x14ac:dyDescent="0.35">
      <c r="A5" s="3" t="s">
        <v>166</v>
      </c>
      <c r="C5">
        <v>0.05</v>
      </c>
      <c r="D5">
        <v>0.5</v>
      </c>
      <c r="K5">
        <v>0.1</v>
      </c>
    </row>
    <row r="6" spans="1:18" x14ac:dyDescent="0.35">
      <c r="A6" s="3" t="s">
        <v>167</v>
      </c>
      <c r="C6">
        <v>0.1</v>
      </c>
      <c r="D6">
        <v>0.5</v>
      </c>
      <c r="K6">
        <v>0.1</v>
      </c>
    </row>
    <row r="7" spans="1:18" x14ac:dyDescent="0.35">
      <c r="A7" s="3" t="s">
        <v>69</v>
      </c>
      <c r="K7">
        <v>0.1</v>
      </c>
    </row>
    <row r="8" spans="1:18" x14ac:dyDescent="0.35">
      <c r="A8" s="3" t="s">
        <v>184</v>
      </c>
      <c r="K8">
        <v>0.2</v>
      </c>
    </row>
    <row r="9" spans="1:18" x14ac:dyDescent="0.35">
      <c r="A9" s="3" t="s">
        <v>183</v>
      </c>
      <c r="K9">
        <v>0.1</v>
      </c>
    </row>
    <row r="10" spans="1:18" x14ac:dyDescent="0.35">
      <c r="A10" s="3" t="s">
        <v>170</v>
      </c>
      <c r="K10">
        <v>0.1</v>
      </c>
    </row>
    <row r="11" spans="1:18" x14ac:dyDescent="0.35">
      <c r="A11" s="3" t="s">
        <v>191</v>
      </c>
    </row>
    <row r="12" spans="1:18" x14ac:dyDescent="0.35">
      <c r="A12" s="3" t="s">
        <v>78</v>
      </c>
      <c r="J12">
        <v>0.3</v>
      </c>
    </row>
    <row r="13" spans="1:18" x14ac:dyDescent="0.35">
      <c r="A13" s="3" t="s">
        <v>81</v>
      </c>
      <c r="B13">
        <v>0.8</v>
      </c>
      <c r="C13">
        <v>0.6</v>
      </c>
      <c r="E13">
        <v>0.4</v>
      </c>
      <c r="F13">
        <v>0.25</v>
      </c>
      <c r="G13">
        <v>0.6</v>
      </c>
      <c r="H13">
        <v>0.3</v>
      </c>
      <c r="I13">
        <v>0.63</v>
      </c>
      <c r="J13">
        <v>0.3</v>
      </c>
      <c r="K13">
        <v>0</v>
      </c>
    </row>
    <row r="14" spans="1:18" x14ac:dyDescent="0.35">
      <c r="A14" s="3" t="s">
        <v>83</v>
      </c>
      <c r="E14">
        <v>0.08</v>
      </c>
      <c r="F14">
        <v>0.03</v>
      </c>
      <c r="G14">
        <v>0.11</v>
      </c>
      <c r="H14">
        <v>0.04</v>
      </c>
      <c r="I14">
        <v>3.6999999999999998E-2</v>
      </c>
      <c r="J14">
        <v>0.2</v>
      </c>
      <c r="K14">
        <v>0</v>
      </c>
    </row>
    <row r="15" spans="1:18" x14ac:dyDescent="0.35">
      <c r="A15" s="3" t="s">
        <v>85</v>
      </c>
    </row>
    <row r="16" spans="1:18" x14ac:dyDescent="0.35">
      <c r="A16" s="3" t="s">
        <v>86</v>
      </c>
    </row>
    <row r="17" spans="1:11" x14ac:dyDescent="0.35">
      <c r="A17" s="3" t="s">
        <v>87</v>
      </c>
      <c r="B17">
        <v>0.2</v>
      </c>
      <c r="C17">
        <v>0.25</v>
      </c>
      <c r="E17">
        <f>1-(E13+E14)</f>
        <v>0.52</v>
      </c>
      <c r="F17">
        <f>1-(F13+F14)</f>
        <v>0.72</v>
      </c>
      <c r="G17">
        <f>1-(G13+G14)</f>
        <v>0.29000000000000004</v>
      </c>
      <c r="H17">
        <f t="shared" ref="H17:I17" si="0">1-(H13+H14)</f>
        <v>0.66</v>
      </c>
      <c r="I17">
        <f t="shared" si="0"/>
        <v>0.33299999999999996</v>
      </c>
      <c r="J17">
        <f>1-(J13+J14+J12)</f>
        <v>0.19999999999999996</v>
      </c>
      <c r="K17">
        <f>1-(SUM(K2:K14))</f>
        <v>0.30000000000000004</v>
      </c>
    </row>
    <row r="18" spans="1:11" x14ac:dyDescent="0.35">
      <c r="A18" s="15" t="s">
        <v>171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18386-27DC-4709-93B5-642FE7B9EAEE}">
  <dimension ref="A1:Z42"/>
  <sheetViews>
    <sheetView workbookViewId="0">
      <selection activeCell="F37" sqref="F37"/>
    </sheetView>
  </sheetViews>
  <sheetFormatPr defaultRowHeight="14.5" x14ac:dyDescent="0.35"/>
  <cols>
    <col min="1" max="1" width="4.7265625" bestFit="1" customWidth="1"/>
    <col min="2" max="2" width="18.26953125" bestFit="1" customWidth="1"/>
    <col min="3" max="3" width="23.26953125" bestFit="1" customWidth="1"/>
    <col min="4" max="4" width="68.1796875" bestFit="1" customWidth="1"/>
    <col min="5" max="5" width="17" bestFit="1" customWidth="1"/>
    <col min="6" max="6" width="29" bestFit="1" customWidth="1"/>
    <col min="7" max="7" width="3.26953125" bestFit="1" customWidth="1"/>
    <col min="8" max="8" width="13.26953125" bestFit="1" customWidth="1"/>
    <col min="9" max="9" width="31.7265625" customWidth="1"/>
    <col min="10" max="10" width="15.26953125" customWidth="1"/>
    <col min="11" max="11" width="56.453125" bestFit="1" customWidth="1"/>
    <col min="12" max="12" width="6" bestFit="1" customWidth="1"/>
    <col min="13" max="13" width="5" bestFit="1" customWidth="1"/>
    <col min="14" max="14" width="4" bestFit="1" customWidth="1"/>
    <col min="15" max="15" width="5" bestFit="1" customWidth="1"/>
    <col min="16" max="16" width="10.1796875" bestFit="1" customWidth="1"/>
    <col min="17" max="18" width="2.1796875" bestFit="1" customWidth="1"/>
    <col min="19" max="19" width="12.81640625" bestFit="1" customWidth="1"/>
    <col min="20" max="20" width="12" bestFit="1" customWidth="1"/>
    <col min="21" max="21" width="13.54296875" bestFit="1" customWidth="1"/>
    <col min="22" max="22" width="17.453125" bestFit="1" customWidth="1"/>
    <col min="23" max="23" width="12.7265625" bestFit="1" customWidth="1"/>
    <col min="24" max="24" width="12" bestFit="1" customWidth="1"/>
    <col min="25" max="25" width="17.26953125" bestFit="1" customWidth="1"/>
    <col min="26" max="26" width="39.54296875" bestFit="1" customWidth="1"/>
  </cols>
  <sheetData>
    <row r="1" spans="1:26" x14ac:dyDescent="0.35">
      <c r="A1" s="1" t="s">
        <v>0</v>
      </c>
      <c r="B1" s="1" t="s">
        <v>1</v>
      </c>
      <c r="C1" s="1" t="s">
        <v>2</v>
      </c>
      <c r="D1" s="1" t="s">
        <v>3</v>
      </c>
      <c r="E1" s="1" t="s">
        <v>4</v>
      </c>
      <c r="F1" s="1" t="s">
        <v>5</v>
      </c>
      <c r="G1" s="1" t="s">
        <v>6</v>
      </c>
      <c r="H1" s="2" t="s">
        <v>7</v>
      </c>
      <c r="I1" s="1" t="s">
        <v>5</v>
      </c>
      <c r="J1" s="1" t="s">
        <v>8</v>
      </c>
      <c r="K1" s="1" t="s">
        <v>9</v>
      </c>
      <c r="L1" s="1" t="s">
        <v>10</v>
      </c>
      <c r="M1" s="1" t="s">
        <v>11</v>
      </c>
      <c r="N1" s="1" t="s">
        <v>12</v>
      </c>
      <c r="O1" s="1" t="s">
        <v>13</v>
      </c>
      <c r="P1" s="1" t="s">
        <v>14</v>
      </c>
      <c r="Q1" s="1" t="s">
        <v>15</v>
      </c>
      <c r="R1" s="1" t="s">
        <v>16</v>
      </c>
      <c r="S1" s="1" t="s">
        <v>17</v>
      </c>
      <c r="T1" s="1" t="s">
        <v>18</v>
      </c>
      <c r="U1" s="1" t="s">
        <v>19</v>
      </c>
      <c r="V1" s="1" t="s">
        <v>5</v>
      </c>
      <c r="W1" s="1" t="s">
        <v>20</v>
      </c>
      <c r="X1" s="1" t="s">
        <v>21</v>
      </c>
      <c r="Y1" s="1" t="s">
        <v>5</v>
      </c>
      <c r="Z1" s="1" t="s">
        <v>22</v>
      </c>
    </row>
    <row r="2" spans="1:26" x14ac:dyDescent="0.35">
      <c r="A2" s="3" t="s">
        <v>23</v>
      </c>
      <c r="B2" s="3" t="s">
        <v>24</v>
      </c>
      <c r="C2" s="3" t="s">
        <v>25</v>
      </c>
      <c r="D2" s="3"/>
      <c r="E2" s="3">
        <v>0.27200000000000002</v>
      </c>
      <c r="F2" s="4" t="s">
        <v>26</v>
      </c>
      <c r="G2" s="3"/>
      <c r="H2" s="5">
        <f>EXP(-0.0066-0.279*LOG(M2)+0.6543*LOG(N2)+0.4634*LOG(O2))</f>
        <v>0.53043898998633732</v>
      </c>
      <c r="I2" s="3" t="s">
        <v>27</v>
      </c>
      <c r="J2" s="3"/>
      <c r="K2" t="s">
        <v>28</v>
      </c>
      <c r="L2" s="3">
        <v>500</v>
      </c>
      <c r="M2" s="6">
        <v>760</v>
      </c>
      <c r="N2" s="7">
        <v>0.2</v>
      </c>
      <c r="O2" s="3">
        <v>23.3</v>
      </c>
      <c r="P2" s="7">
        <v>1.1543300000000001</v>
      </c>
      <c r="Q2" s="3">
        <v>0</v>
      </c>
      <c r="R2" s="3">
        <v>0</v>
      </c>
      <c r="S2" s="3">
        <f>7.964-0.204*LOG10(L2)-1.965*(1000/(O2+273.15))+0.083*P2+Q2*0.532+0.398*R2</f>
        <v>0.88078301054908315</v>
      </c>
      <c r="T2" s="3">
        <f>10^(S2)</f>
        <v>7.599464849341512</v>
      </c>
      <c r="U2" s="3">
        <v>14.57</v>
      </c>
      <c r="V2" s="3"/>
      <c r="W2" s="3"/>
      <c r="X2" s="3">
        <f>H2/T2</f>
        <v>6.9799518848001438E-2</v>
      </c>
      <c r="Y2" s="3"/>
      <c r="Z2" s="3"/>
    </row>
    <row r="3" spans="1:26" x14ac:dyDescent="0.35">
      <c r="A3" s="3"/>
      <c r="B3" s="3" t="s">
        <v>24</v>
      </c>
      <c r="C3" s="3" t="s">
        <v>29</v>
      </c>
      <c r="D3" s="3"/>
      <c r="E3" s="3">
        <v>18.501000000000001</v>
      </c>
      <c r="F3" s="4" t="s">
        <v>26</v>
      </c>
      <c r="G3" s="3"/>
      <c r="H3" s="5">
        <f t="shared" ref="H3:H19" si="0">EXP(-0.0066-0.279*LOG(M3)+0.6543*LOG(N3)+0.4634*LOG(O3))</f>
        <v>0.53043898998633732</v>
      </c>
      <c r="I3" s="3" t="s">
        <v>27</v>
      </c>
      <c r="J3" s="3"/>
      <c r="K3" t="s">
        <v>28</v>
      </c>
      <c r="L3" s="3">
        <v>11000</v>
      </c>
      <c r="M3" s="6">
        <v>760</v>
      </c>
      <c r="N3" s="7">
        <v>0.2</v>
      </c>
      <c r="O3" s="3">
        <v>23.3</v>
      </c>
      <c r="P3" s="7">
        <v>1.1543300000000001</v>
      </c>
      <c r="Q3" s="3">
        <v>0</v>
      </c>
      <c r="R3" s="3">
        <v>0</v>
      </c>
      <c r="S3" s="3">
        <f t="shared" ref="S3:S19" si="1">7.964-0.204*LOG10(L3)-1.965*(1000/(O3+273.15))+0.083*P3+Q3*0.532+0.398*R3</f>
        <v>0.60692878366135317</v>
      </c>
      <c r="T3" s="3">
        <f t="shared" ref="T3:T19" si="2">10^(S3)</f>
        <v>4.0450955410236125</v>
      </c>
      <c r="U3" s="3">
        <v>4.25</v>
      </c>
      <c r="V3" s="3"/>
      <c r="W3" s="3"/>
      <c r="X3" s="3">
        <f t="shared" ref="X3:X34" si="3">H3/T3</f>
        <v>0.13113138728290941</v>
      </c>
      <c r="Y3" s="3"/>
      <c r="Z3" s="3"/>
    </row>
    <row r="4" spans="1:26" x14ac:dyDescent="0.35">
      <c r="A4" s="3"/>
      <c r="B4" s="3" t="s">
        <v>24</v>
      </c>
      <c r="C4" s="3" t="s">
        <v>30</v>
      </c>
      <c r="D4" s="3" t="s">
        <v>31</v>
      </c>
      <c r="E4" s="3">
        <v>5.1269999999999998</v>
      </c>
      <c r="F4" s="4" t="s">
        <v>26</v>
      </c>
      <c r="G4" s="3"/>
      <c r="H4" s="5">
        <f t="shared" si="0"/>
        <v>0.67782618154182994</v>
      </c>
      <c r="I4" s="3" t="s">
        <v>27</v>
      </c>
      <c r="J4" s="3"/>
      <c r="K4" t="s">
        <v>28</v>
      </c>
      <c r="L4" s="3">
        <v>1000</v>
      </c>
      <c r="M4" s="6">
        <v>260</v>
      </c>
      <c r="N4" s="7">
        <v>0.3</v>
      </c>
      <c r="O4" s="3">
        <v>23.3</v>
      </c>
      <c r="P4" s="8">
        <v>1.6189</v>
      </c>
      <c r="Q4" s="3">
        <v>0</v>
      </c>
      <c r="R4" s="3">
        <v>0</v>
      </c>
      <c r="S4" s="3">
        <f t="shared" si="1"/>
        <v>0.85793220143363103</v>
      </c>
      <c r="T4" s="3">
        <f t="shared" si="2"/>
        <v>7.2099491446158508</v>
      </c>
      <c r="U4" s="3">
        <v>4.2</v>
      </c>
      <c r="V4" s="3"/>
      <c r="W4" s="3"/>
      <c r="X4" s="3">
        <f t="shared" si="3"/>
        <v>9.4012616170532623E-2</v>
      </c>
      <c r="Y4" s="3"/>
      <c r="Z4" s="3"/>
    </row>
    <row r="5" spans="1:26" x14ac:dyDescent="0.35">
      <c r="A5" s="3"/>
      <c r="B5" s="3" t="s">
        <v>24</v>
      </c>
      <c r="C5" s="3" t="s">
        <v>32</v>
      </c>
      <c r="D5" s="3"/>
      <c r="E5" s="3">
        <v>0.14099999999999999</v>
      </c>
      <c r="F5" s="4" t="s">
        <v>26</v>
      </c>
      <c r="G5" s="3"/>
      <c r="H5" s="5">
        <f t="shared" si="0"/>
        <v>1.1224511786391782</v>
      </c>
      <c r="I5" s="3" t="s">
        <v>27</v>
      </c>
      <c r="J5" s="3"/>
      <c r="K5" t="s">
        <v>28</v>
      </c>
      <c r="L5" s="3">
        <v>25</v>
      </c>
      <c r="M5" s="6">
        <v>150</v>
      </c>
      <c r="N5" s="7">
        <v>1.4</v>
      </c>
      <c r="O5" s="3">
        <v>23.3</v>
      </c>
      <c r="P5" s="8">
        <v>1.3888</v>
      </c>
      <c r="Q5" s="3">
        <v>0</v>
      </c>
      <c r="R5" s="3">
        <v>0</v>
      </c>
      <c r="S5" s="3">
        <f t="shared" si="1"/>
        <v>1.1656541396645359</v>
      </c>
      <c r="T5" s="3">
        <f t="shared" si="2"/>
        <v>14.643811830500464</v>
      </c>
      <c r="U5" s="3">
        <v>18</v>
      </c>
      <c r="V5" s="3"/>
      <c r="W5" s="3"/>
      <c r="X5" s="3">
        <f t="shared" si="3"/>
        <v>7.6650204989749421E-2</v>
      </c>
      <c r="Y5" s="3"/>
      <c r="Z5" s="3"/>
    </row>
    <row r="6" spans="1:26" x14ac:dyDescent="0.35">
      <c r="A6" s="3"/>
      <c r="B6" s="3" t="s">
        <v>24</v>
      </c>
      <c r="C6" s="3" t="s">
        <v>33</v>
      </c>
      <c r="D6" s="3"/>
      <c r="E6" s="3">
        <v>1.1910000000000001</v>
      </c>
      <c r="F6" s="4" t="s">
        <v>26</v>
      </c>
      <c r="G6" s="3"/>
      <c r="H6" s="5">
        <f t="shared" si="0"/>
        <v>0.7997411866785038</v>
      </c>
      <c r="I6" s="3" t="s">
        <v>27</v>
      </c>
      <c r="J6" s="3"/>
      <c r="K6" t="s">
        <v>28</v>
      </c>
      <c r="L6" s="3">
        <v>50</v>
      </c>
      <c r="M6" s="6">
        <v>220</v>
      </c>
      <c r="N6" s="7">
        <v>0.5</v>
      </c>
      <c r="O6" s="3">
        <v>23.3</v>
      </c>
      <c r="P6" s="8">
        <v>2.2445599999999999</v>
      </c>
      <c r="Q6" s="3">
        <v>0</v>
      </c>
      <c r="R6" s="3">
        <v>0</v>
      </c>
      <c r="S6" s="3">
        <f t="shared" si="1"/>
        <v>1.1752721005490838</v>
      </c>
      <c r="T6" s="3">
        <f t="shared" si="2"/>
        <v>14.971733933364188</v>
      </c>
      <c r="U6" s="3">
        <v>19.5</v>
      </c>
      <c r="V6" s="3"/>
      <c r="W6" s="3"/>
      <c r="X6" s="3">
        <f t="shared" si="3"/>
        <v>5.3416737850002644E-2</v>
      </c>
      <c r="Y6" s="3"/>
      <c r="Z6" s="3"/>
    </row>
    <row r="7" spans="1:26" x14ac:dyDescent="0.35">
      <c r="A7" s="3"/>
      <c r="B7" s="3" t="s">
        <v>24</v>
      </c>
      <c r="C7" s="3" t="s">
        <v>34</v>
      </c>
      <c r="D7" s="3" t="s">
        <v>35</v>
      </c>
      <c r="E7" s="3">
        <v>2E-3</v>
      </c>
      <c r="F7" s="4" t="s">
        <v>26</v>
      </c>
      <c r="G7" s="3"/>
      <c r="H7" s="5">
        <f t="shared" si="0"/>
        <v>1.0595260503131927</v>
      </c>
      <c r="I7" s="3" t="s">
        <v>27</v>
      </c>
      <c r="J7" s="3"/>
      <c r="K7" t="s">
        <v>28</v>
      </c>
      <c r="L7" s="3">
        <v>10</v>
      </c>
      <c r="M7" s="6">
        <v>65</v>
      </c>
      <c r="N7" s="7">
        <v>0.8</v>
      </c>
      <c r="O7" s="3">
        <v>23.3</v>
      </c>
      <c r="P7" s="8">
        <v>0.74880999999999998</v>
      </c>
      <c r="Q7" s="3">
        <v>0</v>
      </c>
      <c r="R7" s="3">
        <v>0</v>
      </c>
      <c r="S7" s="3">
        <f t="shared" si="1"/>
        <v>1.1937147314336314</v>
      </c>
      <c r="T7" s="3">
        <f t="shared" si="2"/>
        <v>15.621212182071368</v>
      </c>
      <c r="U7" s="3"/>
      <c r="V7" s="3"/>
      <c r="W7" s="3"/>
      <c r="X7" s="3">
        <f t="shared" si="3"/>
        <v>6.7826109649110469E-2</v>
      </c>
      <c r="Y7" s="3"/>
      <c r="Z7" s="3"/>
    </row>
    <row r="8" spans="1:26" x14ac:dyDescent="0.35">
      <c r="A8" s="3"/>
      <c r="B8" s="3" t="s">
        <v>24</v>
      </c>
      <c r="C8" s="3" t="s">
        <v>36</v>
      </c>
      <c r="D8" s="3"/>
      <c r="E8" s="3">
        <v>1.4390000000000001</v>
      </c>
      <c r="F8" s="4" t="s">
        <v>26</v>
      </c>
      <c r="G8" s="3"/>
      <c r="H8" s="5">
        <f t="shared" si="0"/>
        <v>0.7837158532200984</v>
      </c>
      <c r="I8" s="3" t="s">
        <v>27</v>
      </c>
      <c r="J8" s="3"/>
      <c r="K8" t="s">
        <v>28</v>
      </c>
      <c r="L8" s="3">
        <v>680</v>
      </c>
      <c r="M8" s="6">
        <v>260</v>
      </c>
      <c r="N8" s="7">
        <v>0.5</v>
      </c>
      <c r="O8" s="3">
        <v>23.3</v>
      </c>
      <c r="P8" s="8">
        <v>1.67679</v>
      </c>
      <c r="Q8" s="3">
        <v>0</v>
      </c>
      <c r="R8" s="3">
        <v>0</v>
      </c>
      <c r="S8" s="3">
        <f t="shared" si="1"/>
        <v>0.89690525324155901</v>
      </c>
      <c r="T8" s="3">
        <f t="shared" si="2"/>
        <v>7.8868803671545429</v>
      </c>
      <c r="U8" s="3"/>
      <c r="V8" s="3"/>
      <c r="W8" s="3"/>
      <c r="X8" s="3">
        <f t="shared" si="3"/>
        <v>9.9369562708715234E-2</v>
      </c>
      <c r="Y8" s="3"/>
      <c r="Z8" s="3"/>
    </row>
    <row r="9" spans="1:26" x14ac:dyDescent="0.35">
      <c r="A9" s="3"/>
      <c r="B9" s="3" t="s">
        <v>24</v>
      </c>
      <c r="C9" s="3" t="s">
        <v>37</v>
      </c>
      <c r="D9" s="3" t="s">
        <v>38</v>
      </c>
      <c r="E9" s="3">
        <v>16.108000000000001</v>
      </c>
      <c r="F9" s="4" t="s">
        <v>26</v>
      </c>
      <c r="G9" s="3"/>
      <c r="H9" s="5">
        <f t="shared" si="0"/>
        <v>0.58149210186209488</v>
      </c>
      <c r="I9" s="3" t="s">
        <v>27</v>
      </c>
      <c r="J9" s="3"/>
      <c r="K9" t="s">
        <v>28</v>
      </c>
      <c r="L9" s="3">
        <v>1000</v>
      </c>
      <c r="M9" s="6">
        <v>356</v>
      </c>
      <c r="N9" s="7">
        <v>0.2</v>
      </c>
      <c r="O9" s="3">
        <v>23.3</v>
      </c>
      <c r="P9" s="8">
        <v>1.5669200000000001</v>
      </c>
      <c r="Q9" s="3">
        <v>0</v>
      </c>
      <c r="R9" s="3">
        <v>0</v>
      </c>
      <c r="S9" s="3">
        <f t="shared" si="1"/>
        <v>0.85361786143363105</v>
      </c>
      <c r="T9" s="3">
        <f t="shared" si="2"/>
        <v>7.1386791257967142</v>
      </c>
      <c r="U9" s="3"/>
      <c r="V9" s="3"/>
      <c r="W9" s="3"/>
      <c r="X9" s="3">
        <f t="shared" si="3"/>
        <v>8.1456540014634329E-2</v>
      </c>
      <c r="Y9" s="3"/>
      <c r="Z9" s="3"/>
    </row>
    <row r="10" spans="1:26" x14ac:dyDescent="0.35">
      <c r="A10" s="3"/>
      <c r="B10" s="3" t="s">
        <v>24</v>
      </c>
      <c r="C10" s="3" t="s">
        <v>39</v>
      </c>
      <c r="D10" s="3" t="s">
        <v>40</v>
      </c>
      <c r="E10" s="3">
        <v>82.335999999999999</v>
      </c>
      <c r="F10" s="4" t="s">
        <v>26</v>
      </c>
      <c r="G10" s="3"/>
      <c r="H10" s="5">
        <f t="shared" si="0"/>
        <v>0.5271524747403854</v>
      </c>
      <c r="I10" s="3" t="s">
        <v>27</v>
      </c>
      <c r="J10" s="3"/>
      <c r="K10" t="s">
        <v>28</v>
      </c>
      <c r="L10" s="3">
        <v>25000</v>
      </c>
      <c r="M10" s="6">
        <v>800</v>
      </c>
      <c r="N10" s="7">
        <v>0.2</v>
      </c>
      <c r="O10" s="3">
        <v>23.3</v>
      </c>
      <c r="P10" s="7">
        <v>1.9949699999999999</v>
      </c>
      <c r="Q10" s="3">
        <v>0</v>
      </c>
      <c r="R10" s="3">
        <v>1</v>
      </c>
      <c r="S10" s="3">
        <f t="shared" si="1"/>
        <v>1.0019662496645358</v>
      </c>
      <c r="T10" s="3">
        <f t="shared" si="2"/>
        <v>10.045377215855893</v>
      </c>
      <c r="U10" s="3"/>
      <c r="V10" s="3"/>
      <c r="W10" s="3"/>
      <c r="X10" s="3">
        <f t="shared" si="3"/>
        <v>5.2477120909736844E-2</v>
      </c>
      <c r="Y10" s="3"/>
      <c r="Z10" s="3"/>
    </row>
    <row r="11" spans="1:26" x14ac:dyDescent="0.35">
      <c r="A11" s="3"/>
      <c r="B11" s="3" t="s">
        <v>24</v>
      </c>
      <c r="C11" s="3" t="s">
        <v>41</v>
      </c>
      <c r="D11" s="3" t="s">
        <v>42</v>
      </c>
      <c r="E11" s="3">
        <v>33.231999999999999</v>
      </c>
      <c r="F11" s="4" t="s">
        <v>26</v>
      </c>
      <c r="G11" s="3"/>
      <c r="H11" s="5">
        <f t="shared" si="0"/>
        <v>0.57213506937469605</v>
      </c>
      <c r="I11" s="3" t="s">
        <v>27</v>
      </c>
      <c r="J11" s="3"/>
      <c r="K11" t="s">
        <v>28</v>
      </c>
      <c r="L11" s="3">
        <v>10000</v>
      </c>
      <c r="M11" s="6">
        <v>407</v>
      </c>
      <c r="N11" s="7">
        <v>0.2</v>
      </c>
      <c r="O11" s="3">
        <v>23.3</v>
      </c>
      <c r="P11" s="8">
        <v>1.10504</v>
      </c>
      <c r="Q11" s="3">
        <v>0</v>
      </c>
      <c r="R11" s="3">
        <v>0</v>
      </c>
      <c r="S11" s="3">
        <f t="shared" si="1"/>
        <v>0.6112818214336313</v>
      </c>
      <c r="T11" s="3">
        <f t="shared" si="2"/>
        <v>4.0858443805271349</v>
      </c>
      <c r="U11" s="3">
        <v>2.2000000000000002</v>
      </c>
      <c r="V11" s="3" t="s">
        <v>43</v>
      </c>
      <c r="W11" s="3"/>
      <c r="X11" s="3">
        <f t="shared" si="3"/>
        <v>0.14002860023290511</v>
      </c>
      <c r="Y11" s="3"/>
      <c r="Z11" s="3"/>
    </row>
    <row r="12" spans="1:26" x14ac:dyDescent="0.35">
      <c r="A12" s="3"/>
      <c r="B12" s="3" t="s">
        <v>24</v>
      </c>
      <c r="C12" s="3" t="s">
        <v>44</v>
      </c>
      <c r="D12" s="3"/>
      <c r="E12" s="3">
        <v>0.109</v>
      </c>
      <c r="F12" s="4" t="s">
        <v>26</v>
      </c>
      <c r="G12" s="3"/>
      <c r="H12" s="5">
        <f t="shared" si="0"/>
        <v>0.49940332974742452</v>
      </c>
      <c r="I12" s="3" t="s">
        <v>27</v>
      </c>
      <c r="J12" s="3"/>
      <c r="K12" t="s">
        <v>28</v>
      </c>
      <c r="L12" s="3">
        <v>500</v>
      </c>
      <c r="M12" s="6">
        <v>1250</v>
      </c>
      <c r="N12" s="7">
        <v>0.2</v>
      </c>
      <c r="O12" s="3">
        <v>23.3</v>
      </c>
      <c r="P12" s="8">
        <v>2.0669400000000002</v>
      </c>
      <c r="Q12" s="3">
        <v>0</v>
      </c>
      <c r="R12" s="3">
        <v>0</v>
      </c>
      <c r="S12" s="3">
        <f t="shared" si="1"/>
        <v>0.95652964054908318</v>
      </c>
      <c r="T12" s="3">
        <f t="shared" si="2"/>
        <v>9.0475218486487599</v>
      </c>
      <c r="U12" s="3">
        <v>10</v>
      </c>
      <c r="V12" s="3"/>
      <c r="W12" s="3"/>
      <c r="X12" s="3">
        <f t="shared" si="3"/>
        <v>5.5197803122410807E-2</v>
      </c>
      <c r="Y12" s="3"/>
      <c r="Z12" s="3"/>
    </row>
    <row r="13" spans="1:26" x14ac:dyDescent="0.35">
      <c r="A13" s="3"/>
      <c r="B13" s="3" t="s">
        <v>24</v>
      </c>
      <c r="C13" s="3" t="s">
        <v>45</v>
      </c>
      <c r="D13" s="3"/>
      <c r="E13" s="3">
        <v>4.3159999999999998</v>
      </c>
      <c r="F13" s="4" t="s">
        <v>26</v>
      </c>
      <c r="G13" s="3"/>
      <c r="H13" s="5">
        <f t="shared" si="0"/>
        <v>0.49940332974742452</v>
      </c>
      <c r="I13" s="3" t="s">
        <v>27</v>
      </c>
      <c r="J13" s="3"/>
      <c r="K13" t="s">
        <v>28</v>
      </c>
      <c r="L13" s="3">
        <v>5000</v>
      </c>
      <c r="M13" s="6">
        <v>1250</v>
      </c>
      <c r="N13" s="7">
        <v>0.2</v>
      </c>
      <c r="O13" s="3">
        <v>23.3</v>
      </c>
      <c r="P13" s="8">
        <v>2.0669400000000002</v>
      </c>
      <c r="Q13" s="3">
        <v>0</v>
      </c>
      <c r="R13" s="3">
        <v>0</v>
      </c>
      <c r="S13" s="3">
        <f t="shared" si="1"/>
        <v>0.75252964054908345</v>
      </c>
      <c r="T13" s="3">
        <f t="shared" si="2"/>
        <v>5.6562635970665998</v>
      </c>
      <c r="U13" s="3">
        <v>3.18</v>
      </c>
      <c r="V13" s="3"/>
      <c r="W13" s="3"/>
      <c r="X13" s="3">
        <f t="shared" si="3"/>
        <v>8.8292089146343983E-2</v>
      </c>
      <c r="Y13" s="3"/>
      <c r="Z13" s="3"/>
    </row>
    <row r="14" spans="1:26" x14ac:dyDescent="0.35">
      <c r="A14" s="3"/>
      <c r="B14" s="3" t="s">
        <v>24</v>
      </c>
      <c r="C14" s="3" t="s">
        <v>46</v>
      </c>
      <c r="D14" s="3"/>
      <c r="E14" s="3">
        <v>0</v>
      </c>
      <c r="F14" s="4" t="s">
        <v>26</v>
      </c>
      <c r="G14" s="3"/>
      <c r="H14" s="5" t="e">
        <f t="shared" si="0"/>
        <v>#NUM!</v>
      </c>
      <c r="I14" s="3" t="s">
        <v>27</v>
      </c>
      <c r="J14" s="3"/>
      <c r="K14" t="s">
        <v>28</v>
      </c>
      <c r="L14" s="3"/>
      <c r="M14" s="6"/>
      <c r="N14" s="7"/>
      <c r="O14" s="3">
        <v>23.3</v>
      </c>
      <c r="P14" s="7"/>
      <c r="Q14" s="3"/>
      <c r="R14" s="3"/>
      <c r="S14" s="3" t="e">
        <f t="shared" si="1"/>
        <v>#NUM!</v>
      </c>
      <c r="T14" s="3" t="e">
        <f t="shared" si="2"/>
        <v>#NUM!</v>
      </c>
      <c r="U14" s="3"/>
      <c r="V14" s="3"/>
      <c r="W14" s="3"/>
      <c r="X14" s="3" t="e">
        <f t="shared" si="3"/>
        <v>#NUM!</v>
      </c>
      <c r="Y14" s="3"/>
      <c r="Z14" s="3"/>
    </row>
    <row r="15" spans="1:26" x14ac:dyDescent="0.35">
      <c r="A15" s="3"/>
      <c r="B15" s="3" t="s">
        <v>24</v>
      </c>
      <c r="C15" s="3" t="s">
        <v>47</v>
      </c>
      <c r="D15" s="3" t="s">
        <v>48</v>
      </c>
      <c r="E15" s="3">
        <v>0.47499999999999998</v>
      </c>
      <c r="F15" s="4" t="s">
        <v>26</v>
      </c>
      <c r="G15" s="3"/>
      <c r="H15" s="5">
        <f t="shared" si="0"/>
        <v>0.69972057792442388</v>
      </c>
      <c r="I15" s="3" t="s">
        <v>27</v>
      </c>
      <c r="J15" s="3"/>
      <c r="K15" t="s">
        <v>28</v>
      </c>
      <c r="L15" s="3">
        <v>25</v>
      </c>
      <c r="M15" s="6">
        <v>200</v>
      </c>
      <c r="N15" s="7">
        <v>0.3</v>
      </c>
      <c r="O15" s="3">
        <v>23.3</v>
      </c>
      <c r="P15" s="8">
        <v>0.876085</v>
      </c>
      <c r="Q15" s="3">
        <v>0</v>
      </c>
      <c r="R15" s="3">
        <v>0</v>
      </c>
      <c r="S15" s="3">
        <f t="shared" si="1"/>
        <v>1.1230987946645359</v>
      </c>
      <c r="T15" s="3">
        <f t="shared" si="2"/>
        <v>13.276964519128684</v>
      </c>
      <c r="U15" s="3">
        <v>15.1</v>
      </c>
      <c r="V15" s="3" t="s">
        <v>49</v>
      </c>
      <c r="W15" s="3"/>
      <c r="X15" s="3">
        <f t="shared" si="3"/>
        <v>5.2701848898993958E-2</v>
      </c>
      <c r="Y15" s="3"/>
      <c r="Z15" s="3"/>
    </row>
    <row r="16" spans="1:26" x14ac:dyDescent="0.35">
      <c r="A16" s="3"/>
      <c r="B16" s="3" t="s">
        <v>24</v>
      </c>
      <c r="C16" s="3" t="s">
        <v>50</v>
      </c>
      <c r="D16" s="3"/>
      <c r="E16" s="3">
        <v>7.7130000000000001</v>
      </c>
      <c r="F16" s="4" t="s">
        <v>26</v>
      </c>
      <c r="G16" s="3"/>
      <c r="H16" s="5">
        <f t="shared" si="0"/>
        <v>0.68512649039762263</v>
      </c>
      <c r="I16" s="3" t="s">
        <v>27</v>
      </c>
      <c r="J16" s="3"/>
      <c r="K16" t="s">
        <v>28</v>
      </c>
      <c r="L16" s="3">
        <v>500</v>
      </c>
      <c r="M16" s="6">
        <v>238</v>
      </c>
      <c r="N16" s="7">
        <v>0.3</v>
      </c>
      <c r="O16" s="3">
        <v>23.3</v>
      </c>
      <c r="P16" s="8">
        <v>2.1623100000000002</v>
      </c>
      <c r="Q16" s="3">
        <v>0</v>
      </c>
      <c r="R16" s="3">
        <v>0</v>
      </c>
      <c r="S16" s="3">
        <f t="shared" si="1"/>
        <v>0.9644453505490832</v>
      </c>
      <c r="T16" s="3">
        <f t="shared" si="2"/>
        <v>9.2139393782344765</v>
      </c>
      <c r="U16" s="3">
        <v>8.9</v>
      </c>
      <c r="V16" s="3"/>
      <c r="W16" s="3"/>
      <c r="X16" s="3">
        <f t="shared" si="3"/>
        <v>7.4357607780235119E-2</v>
      </c>
      <c r="Y16" s="3"/>
      <c r="Z16" s="3"/>
    </row>
    <row r="17" spans="1:26" x14ac:dyDescent="0.35">
      <c r="A17" s="3"/>
      <c r="B17" s="3" t="s">
        <v>24</v>
      </c>
      <c r="C17" s="3" t="s">
        <v>51</v>
      </c>
      <c r="D17" s="3"/>
      <c r="E17" s="3">
        <v>47.918999999999997</v>
      </c>
      <c r="F17" s="4" t="s">
        <v>26</v>
      </c>
      <c r="G17" s="3"/>
      <c r="H17" s="5">
        <f t="shared" si="0"/>
        <v>0.55043423197866836</v>
      </c>
      <c r="I17" s="3" t="s">
        <v>27</v>
      </c>
      <c r="J17" s="3"/>
      <c r="K17" t="s">
        <v>28</v>
      </c>
      <c r="L17" s="3">
        <v>4000</v>
      </c>
      <c r="M17" s="6">
        <v>560</v>
      </c>
      <c r="N17" s="7">
        <v>0.2</v>
      </c>
      <c r="O17" s="3">
        <v>23.3</v>
      </c>
      <c r="P17" s="8">
        <v>1.6152200000000001</v>
      </c>
      <c r="Q17" s="3">
        <v>0</v>
      </c>
      <c r="R17" s="3">
        <v>1</v>
      </c>
      <c r="S17" s="3">
        <f t="shared" si="1"/>
        <v>1.1328065232027269</v>
      </c>
      <c r="T17" s="3">
        <f t="shared" si="2"/>
        <v>13.577084570783642</v>
      </c>
      <c r="U17" s="3"/>
      <c r="V17" s="3"/>
      <c r="W17" s="3"/>
      <c r="X17" s="3">
        <f t="shared" si="3"/>
        <v>4.0541415876803252E-2</v>
      </c>
      <c r="Y17" s="3"/>
      <c r="Z17" s="3"/>
    </row>
    <row r="18" spans="1:26" x14ac:dyDescent="0.35">
      <c r="A18" s="3"/>
      <c r="B18" s="3" t="s">
        <v>24</v>
      </c>
      <c r="C18" s="3" t="s">
        <v>52</v>
      </c>
      <c r="D18" s="3"/>
      <c r="E18" s="3">
        <v>0.83899999999999997</v>
      </c>
      <c r="F18" s="4" t="s">
        <v>26</v>
      </c>
      <c r="G18" s="3"/>
      <c r="H18" s="5">
        <f t="shared" si="0"/>
        <v>0.5826909568142763</v>
      </c>
      <c r="I18" s="3" t="s">
        <v>27</v>
      </c>
      <c r="J18" s="3"/>
      <c r="K18" t="s">
        <v>28</v>
      </c>
      <c r="L18" s="3">
        <v>1000</v>
      </c>
      <c r="M18" s="6">
        <v>350</v>
      </c>
      <c r="N18" s="7">
        <v>0.2</v>
      </c>
      <c r="O18" s="3">
        <v>23.3</v>
      </c>
      <c r="P18" s="8">
        <v>3.0263900000000001</v>
      </c>
      <c r="Q18" s="3">
        <v>0</v>
      </c>
      <c r="R18" s="3">
        <v>0</v>
      </c>
      <c r="S18" s="3">
        <f t="shared" si="1"/>
        <v>0.97475387143363101</v>
      </c>
      <c r="T18" s="3">
        <f t="shared" si="2"/>
        <v>9.4352599838822435</v>
      </c>
      <c r="U18" s="3"/>
      <c r="V18" s="3"/>
      <c r="W18" s="3"/>
      <c r="X18" s="3">
        <f t="shared" si="3"/>
        <v>6.1756746269806713E-2</v>
      </c>
      <c r="Y18" s="3"/>
      <c r="Z18" s="3"/>
    </row>
    <row r="19" spans="1:26" ht="16" x14ac:dyDescent="0.4">
      <c r="A19" s="3"/>
      <c r="B19" s="3" t="s">
        <v>24</v>
      </c>
      <c r="C19" s="3" t="s">
        <v>53</v>
      </c>
      <c r="D19" s="9"/>
      <c r="E19" s="3">
        <v>3.08</v>
      </c>
      <c r="F19" s="4" t="s">
        <v>26</v>
      </c>
      <c r="G19" s="3"/>
      <c r="H19" s="5">
        <f t="shared" si="0"/>
        <v>0.41428465719881774</v>
      </c>
      <c r="I19" s="3" t="s">
        <v>27</v>
      </c>
      <c r="J19" s="3"/>
      <c r="K19" t="s">
        <v>28</v>
      </c>
      <c r="L19" s="3">
        <v>4100</v>
      </c>
      <c r="M19" s="6">
        <v>1150</v>
      </c>
      <c r="N19" s="7">
        <v>0.1</v>
      </c>
      <c r="O19" s="3">
        <v>23.3</v>
      </c>
      <c r="P19" s="8">
        <v>0.76691200000000004</v>
      </c>
      <c r="Q19" s="3">
        <v>0</v>
      </c>
      <c r="R19" s="3">
        <v>0</v>
      </c>
      <c r="S19" s="3">
        <f t="shared" si="1"/>
        <v>0.66220929066280543</v>
      </c>
      <c r="T19" s="3">
        <f t="shared" si="2"/>
        <v>4.594193580792262</v>
      </c>
      <c r="U19" s="3">
        <v>3.7</v>
      </c>
      <c r="V19" s="3"/>
      <c r="W19" s="3"/>
      <c r="X19" s="3">
        <f t="shared" si="3"/>
        <v>9.0175707643423891E-2</v>
      </c>
      <c r="Y19" s="3"/>
      <c r="Z19" s="3"/>
    </row>
    <row r="20" spans="1:26" ht="16" x14ac:dyDescent="0.4">
      <c r="A20" s="3"/>
      <c r="B20" s="3" t="s">
        <v>54</v>
      </c>
      <c r="C20" s="3" t="s">
        <v>55</v>
      </c>
      <c r="D20" s="9"/>
      <c r="E20" s="3"/>
      <c r="F20" s="4"/>
      <c r="G20" s="3"/>
      <c r="H20" s="5">
        <v>2.89</v>
      </c>
      <c r="I20" s="3" t="s">
        <v>94</v>
      </c>
      <c r="J20" s="3"/>
      <c r="L20" s="3"/>
      <c r="M20" s="6"/>
      <c r="N20" s="7"/>
      <c r="O20" s="3"/>
      <c r="P20" s="8"/>
      <c r="Q20" s="3"/>
      <c r="R20" s="3"/>
      <c r="S20" s="3"/>
      <c r="T20" s="3"/>
      <c r="U20" s="3"/>
      <c r="V20" s="3"/>
      <c r="W20" s="3"/>
      <c r="X20" s="3"/>
      <c r="Y20" s="3"/>
      <c r="Z20" s="3"/>
    </row>
    <row r="21" spans="1:26" x14ac:dyDescent="0.35">
      <c r="A21" s="3"/>
      <c r="B21" s="3" t="s">
        <v>54</v>
      </c>
      <c r="C21" s="3" t="s">
        <v>55</v>
      </c>
      <c r="D21" s="3"/>
      <c r="E21" s="3">
        <v>114.449</v>
      </c>
      <c r="F21" s="4" t="s">
        <v>56</v>
      </c>
      <c r="G21" s="3"/>
      <c r="H21" s="5">
        <v>1.2</v>
      </c>
      <c r="I21" s="3" t="s">
        <v>57</v>
      </c>
      <c r="J21" s="3"/>
      <c r="K21" s="3"/>
      <c r="L21" s="3"/>
      <c r="M21" s="3"/>
      <c r="N21" s="3"/>
      <c r="O21" s="3"/>
      <c r="P21" s="3"/>
      <c r="Q21" s="3"/>
      <c r="R21" s="3"/>
      <c r="S21" s="3"/>
      <c r="T21" s="3">
        <v>10</v>
      </c>
      <c r="U21" s="3"/>
      <c r="V21" s="3"/>
      <c r="W21" s="3"/>
      <c r="X21" s="3">
        <f t="shared" si="3"/>
        <v>0.12</v>
      </c>
      <c r="Y21" s="3"/>
      <c r="Z21" s="3" t="s">
        <v>58</v>
      </c>
    </row>
    <row r="22" spans="1:26" x14ac:dyDescent="0.35">
      <c r="A22" s="3"/>
      <c r="B22" s="3" t="s">
        <v>54</v>
      </c>
      <c r="C22" s="3" t="s">
        <v>59</v>
      </c>
      <c r="D22" s="3"/>
      <c r="E22" s="3">
        <v>2.8140000000000001</v>
      </c>
      <c r="F22" s="4" t="s">
        <v>26</v>
      </c>
      <c r="G22" s="3"/>
      <c r="H22" s="5">
        <v>2</v>
      </c>
      <c r="I22" s="3" t="s">
        <v>57</v>
      </c>
      <c r="J22" s="3"/>
      <c r="K22" s="3"/>
      <c r="L22" s="3"/>
      <c r="M22" s="3"/>
      <c r="N22" s="3"/>
      <c r="O22" s="3"/>
      <c r="P22" s="3"/>
      <c r="Q22" s="3"/>
      <c r="R22" s="3"/>
      <c r="S22" s="3"/>
      <c r="T22" s="3">
        <v>10</v>
      </c>
      <c r="U22" s="3"/>
      <c r="V22" s="3"/>
      <c r="W22" s="3"/>
      <c r="X22" s="3">
        <f t="shared" si="3"/>
        <v>0.2</v>
      </c>
      <c r="Y22" s="3"/>
      <c r="Z22" s="3"/>
    </row>
    <row r="23" spans="1:26" x14ac:dyDescent="0.35">
      <c r="A23" s="3"/>
      <c r="B23" s="3" t="s">
        <v>54</v>
      </c>
      <c r="C23" s="10" t="s">
        <v>60</v>
      </c>
      <c r="D23" s="3"/>
      <c r="E23" s="3"/>
      <c r="F23" s="4"/>
      <c r="G23" s="3"/>
      <c r="H23" s="5"/>
      <c r="I23" s="3"/>
      <c r="J23" s="3"/>
      <c r="K23" s="3"/>
      <c r="L23" s="3"/>
      <c r="M23" s="3"/>
      <c r="N23" s="3"/>
      <c r="O23" s="3"/>
      <c r="P23" s="3"/>
      <c r="Q23" s="3"/>
      <c r="R23" s="3"/>
      <c r="S23" s="3"/>
      <c r="T23" s="3"/>
      <c r="U23" s="3"/>
      <c r="V23" s="3"/>
      <c r="W23" s="3"/>
      <c r="X23" s="3" t="e">
        <f t="shared" ref="X23" si="4">H23/T23</f>
        <v>#DIV/0!</v>
      </c>
      <c r="Y23" s="3"/>
      <c r="Z23" s="3" t="s">
        <v>58</v>
      </c>
    </row>
    <row r="24" spans="1:26" x14ac:dyDescent="0.35">
      <c r="A24" s="3"/>
      <c r="B24" s="3" t="s">
        <v>54</v>
      </c>
      <c r="C24" s="10" t="s">
        <v>60</v>
      </c>
      <c r="D24" s="3" t="s">
        <v>61</v>
      </c>
      <c r="E24" s="3">
        <v>5878.5240000000003</v>
      </c>
      <c r="F24" s="4" t="s">
        <v>56</v>
      </c>
      <c r="G24" s="3"/>
      <c r="H24" s="5">
        <v>3</v>
      </c>
      <c r="I24" s="3" t="s">
        <v>57</v>
      </c>
      <c r="J24" s="3"/>
      <c r="K24" s="3"/>
      <c r="L24" s="3"/>
      <c r="M24" s="3"/>
      <c r="N24" s="3"/>
      <c r="O24" s="3"/>
      <c r="P24" s="3"/>
      <c r="Q24" s="3"/>
      <c r="R24" s="3"/>
      <c r="S24" s="3"/>
      <c r="T24" s="3">
        <v>5</v>
      </c>
      <c r="U24" s="3"/>
      <c r="V24" s="3"/>
      <c r="W24" s="3"/>
      <c r="X24" s="3">
        <f t="shared" si="3"/>
        <v>0.6</v>
      </c>
      <c r="Y24" s="3"/>
      <c r="Z24" s="3" t="s">
        <v>58</v>
      </c>
    </row>
    <row r="25" spans="1:26" x14ac:dyDescent="0.35">
      <c r="A25" s="3"/>
      <c r="B25" s="3" t="s">
        <v>54</v>
      </c>
      <c r="C25" s="3" t="s">
        <v>62</v>
      </c>
      <c r="D25" s="3"/>
      <c r="E25" s="3"/>
      <c r="F25" s="4"/>
      <c r="G25" s="3"/>
      <c r="H25" s="5" t="s">
        <v>90</v>
      </c>
      <c r="I25" s="13" t="s">
        <v>91</v>
      </c>
      <c r="J25" s="3"/>
      <c r="K25" s="3"/>
      <c r="L25" s="3"/>
      <c r="M25" s="3"/>
      <c r="N25" s="3"/>
      <c r="O25" s="3"/>
      <c r="P25" s="3"/>
      <c r="Q25" s="3"/>
      <c r="R25" s="3"/>
      <c r="S25" s="3"/>
      <c r="T25" s="3"/>
      <c r="U25" s="3"/>
      <c r="V25" s="3"/>
      <c r="W25" s="3"/>
      <c r="X25" s="3"/>
      <c r="Y25" s="3"/>
      <c r="Z25" s="3"/>
    </row>
    <row r="26" spans="1:26" x14ac:dyDescent="0.35">
      <c r="A26" s="3"/>
      <c r="B26" s="3" t="s">
        <v>54</v>
      </c>
      <c r="C26" s="3" t="s">
        <v>62</v>
      </c>
      <c r="D26" s="3" t="s">
        <v>63</v>
      </c>
      <c r="E26" s="3">
        <v>11.471</v>
      </c>
      <c r="F26" s="4" t="s">
        <v>56</v>
      </c>
      <c r="G26" s="3"/>
      <c r="H26" s="5">
        <v>3</v>
      </c>
      <c r="I26" s="3" t="s">
        <v>57</v>
      </c>
      <c r="J26" s="3"/>
      <c r="K26" s="3"/>
      <c r="L26" s="3"/>
      <c r="M26" s="3"/>
      <c r="N26" s="3"/>
      <c r="O26" s="3"/>
      <c r="P26" s="3"/>
      <c r="Q26" s="3"/>
      <c r="R26" s="3"/>
      <c r="S26" s="3"/>
      <c r="T26" s="3">
        <v>5</v>
      </c>
      <c r="U26" s="3"/>
      <c r="V26" s="3"/>
      <c r="W26" s="3"/>
      <c r="X26" s="3">
        <f t="shared" si="3"/>
        <v>0.6</v>
      </c>
      <c r="Y26" s="3"/>
      <c r="Z26" s="3" t="s">
        <v>58</v>
      </c>
    </row>
    <row r="27" spans="1:26" x14ac:dyDescent="0.35">
      <c r="A27" s="3"/>
      <c r="B27" s="3" t="s">
        <v>54</v>
      </c>
      <c r="C27" s="3" t="s">
        <v>92</v>
      </c>
      <c r="D27" s="3"/>
      <c r="E27" s="3"/>
      <c r="F27" s="4"/>
      <c r="G27" s="3"/>
      <c r="H27" s="5"/>
      <c r="I27" s="3"/>
      <c r="J27" s="3" t="s">
        <v>93</v>
      </c>
      <c r="K27" s="3"/>
      <c r="L27" s="3"/>
      <c r="M27" s="3"/>
      <c r="N27" s="3"/>
      <c r="O27" s="3"/>
      <c r="P27" s="3"/>
      <c r="Q27" s="3"/>
      <c r="R27" s="3"/>
      <c r="S27" s="3"/>
      <c r="T27" s="3"/>
      <c r="U27" s="3"/>
      <c r="V27" s="3"/>
      <c r="W27" s="3"/>
      <c r="X27" s="3"/>
      <c r="Y27" s="3"/>
      <c r="Z27" s="3"/>
    </row>
    <row r="28" spans="1:26" x14ac:dyDescent="0.35">
      <c r="A28" s="3"/>
      <c r="B28" s="3" t="s">
        <v>54</v>
      </c>
      <c r="C28" s="10" t="s">
        <v>64</v>
      </c>
      <c r="D28" s="3" t="s">
        <v>65</v>
      </c>
      <c r="E28" s="3">
        <v>2934.8919999999998</v>
      </c>
      <c r="F28" s="4" t="s">
        <v>66</v>
      </c>
      <c r="G28" s="3"/>
      <c r="H28" s="5">
        <v>3</v>
      </c>
      <c r="I28" s="3" t="s">
        <v>57</v>
      </c>
      <c r="J28" s="3"/>
      <c r="K28" s="3"/>
      <c r="L28" s="3"/>
      <c r="M28" s="3"/>
      <c r="N28" s="3"/>
      <c r="O28" s="3"/>
      <c r="P28" s="3"/>
      <c r="Q28" s="3"/>
      <c r="R28" s="3"/>
      <c r="S28" s="3"/>
      <c r="T28" s="3">
        <v>5</v>
      </c>
      <c r="U28" s="3"/>
      <c r="V28" s="3"/>
      <c r="W28" s="3"/>
      <c r="X28" s="3">
        <f t="shared" si="3"/>
        <v>0.6</v>
      </c>
      <c r="Y28" s="3"/>
      <c r="Z28" s="3"/>
    </row>
    <row r="29" spans="1:26" x14ac:dyDescent="0.35">
      <c r="A29" s="3"/>
      <c r="B29" s="3" t="s">
        <v>54</v>
      </c>
      <c r="C29" s="3" t="s">
        <v>67</v>
      </c>
      <c r="D29" s="3"/>
      <c r="E29" s="3">
        <v>0.38600000000000001</v>
      </c>
      <c r="F29" s="4" t="s">
        <v>26</v>
      </c>
      <c r="G29" s="3"/>
      <c r="H29" s="5">
        <v>2</v>
      </c>
      <c r="I29" s="3" t="s">
        <v>57</v>
      </c>
      <c r="J29" s="3"/>
      <c r="K29" s="3"/>
      <c r="L29" s="3"/>
      <c r="M29" s="3"/>
      <c r="N29" s="3"/>
      <c r="O29" s="3"/>
      <c r="P29" s="3"/>
      <c r="Q29" s="3"/>
      <c r="R29" s="3"/>
      <c r="S29" s="3"/>
      <c r="T29" s="3">
        <v>12</v>
      </c>
      <c r="U29" s="3"/>
      <c r="V29" s="3"/>
      <c r="W29" s="3"/>
      <c r="X29" s="3">
        <f t="shared" si="3"/>
        <v>0.16666666666666666</v>
      </c>
      <c r="Y29" s="3"/>
      <c r="Z29" s="3"/>
    </row>
    <row r="30" spans="1:26" x14ac:dyDescent="0.35">
      <c r="A30" s="3"/>
      <c r="B30" s="3" t="s">
        <v>68</v>
      </c>
      <c r="C30" s="3" t="s">
        <v>95</v>
      </c>
      <c r="D30" s="3"/>
      <c r="E30" s="3"/>
      <c r="F30" s="4"/>
      <c r="G30" s="3"/>
      <c r="H30" s="5"/>
      <c r="I30" s="13"/>
      <c r="J30" s="3"/>
      <c r="K30" s="3"/>
      <c r="L30" s="3"/>
      <c r="M30" s="3"/>
      <c r="N30" s="3"/>
      <c r="O30" s="3"/>
      <c r="P30" s="3"/>
      <c r="Q30" s="3"/>
      <c r="R30" s="3"/>
      <c r="S30" s="3"/>
      <c r="T30" s="3"/>
      <c r="U30" s="3"/>
      <c r="V30" s="3"/>
      <c r="W30" s="3"/>
      <c r="X30" s="3"/>
      <c r="Y30" s="3"/>
      <c r="Z30" s="3"/>
    </row>
    <row r="31" spans="1:26" x14ac:dyDescent="0.35">
      <c r="A31" s="3"/>
      <c r="B31" s="3" t="s">
        <v>68</v>
      </c>
      <c r="C31" s="3" t="s">
        <v>69</v>
      </c>
      <c r="D31" s="3"/>
      <c r="E31" s="3">
        <v>0.218</v>
      </c>
      <c r="F31" s="4" t="s">
        <v>66</v>
      </c>
      <c r="G31" s="3"/>
      <c r="H31" s="5">
        <v>57.3</v>
      </c>
      <c r="I31" s="3" t="s">
        <v>57</v>
      </c>
      <c r="J31" s="3" t="s">
        <v>70</v>
      </c>
      <c r="K31" s="3">
        <f>EXP(-1.429 + 0.808*LOG(0.3))*365</f>
        <v>57.306343671721216</v>
      </c>
      <c r="L31" s="3"/>
      <c r="M31" s="3"/>
      <c r="N31" s="3"/>
      <c r="O31" s="3"/>
      <c r="P31" s="3"/>
      <c r="Q31" s="3"/>
      <c r="R31" s="3"/>
      <c r="S31" s="3"/>
      <c r="T31" s="3">
        <v>100</v>
      </c>
      <c r="U31" s="3"/>
      <c r="V31" s="3"/>
      <c r="W31" s="3"/>
      <c r="X31" s="3">
        <f t="shared" si="3"/>
        <v>0.57299999999999995</v>
      </c>
      <c r="Y31" s="3"/>
      <c r="Z31" s="3"/>
    </row>
    <row r="32" spans="1:26" x14ac:dyDescent="0.35">
      <c r="A32" s="3"/>
      <c r="B32" s="3" t="s">
        <v>68</v>
      </c>
      <c r="C32" s="3" t="s">
        <v>71</v>
      </c>
      <c r="D32" s="3"/>
      <c r="E32" s="3">
        <v>30.882999999999999</v>
      </c>
      <c r="F32" s="4" t="s">
        <v>66</v>
      </c>
      <c r="G32" s="3"/>
      <c r="H32" s="5">
        <v>52.02</v>
      </c>
      <c r="I32" s="3" t="s">
        <v>72</v>
      </c>
      <c r="J32" s="3" t="s">
        <v>73</v>
      </c>
      <c r="K32" s="3">
        <f>EXP(-1.429 + 0.808*LOG(0.23))*365</f>
        <v>52.20474781614125</v>
      </c>
      <c r="L32" s="3"/>
      <c r="M32" s="3"/>
      <c r="N32" s="3"/>
      <c r="O32" s="3"/>
      <c r="P32" s="3"/>
      <c r="Q32" s="3"/>
      <c r="R32" s="3"/>
      <c r="S32" s="3"/>
      <c r="T32" s="3">
        <v>100</v>
      </c>
      <c r="U32" s="3"/>
      <c r="V32" s="3"/>
      <c r="W32" s="3"/>
      <c r="X32" s="3">
        <f t="shared" si="3"/>
        <v>0.5202</v>
      </c>
      <c r="Y32" s="3"/>
      <c r="Z32" s="3"/>
    </row>
    <row r="33" spans="1:26" x14ac:dyDescent="0.35">
      <c r="A33" s="3"/>
      <c r="B33" s="3" t="s">
        <v>68</v>
      </c>
      <c r="C33" s="3" t="s">
        <v>74</v>
      </c>
      <c r="D33" s="3"/>
      <c r="E33" s="3">
        <v>0.63600000000000001</v>
      </c>
      <c r="F33" s="4" t="s">
        <v>66</v>
      </c>
      <c r="G33" s="3"/>
      <c r="H33" s="5">
        <v>49.7</v>
      </c>
      <c r="I33" s="3" t="s">
        <v>57</v>
      </c>
      <c r="J33" s="3" t="s">
        <v>73</v>
      </c>
      <c r="K33" s="3">
        <f>EXP(-1.429 + 0.808*LOG(0.23))*365</f>
        <v>52.20474781614125</v>
      </c>
      <c r="L33" s="3"/>
      <c r="M33" s="3"/>
      <c r="N33" s="3"/>
      <c r="O33" s="3"/>
      <c r="P33" s="3"/>
      <c r="Q33" s="3"/>
      <c r="R33" s="3"/>
      <c r="S33" s="3"/>
      <c r="T33" s="3">
        <v>100</v>
      </c>
      <c r="U33" s="3"/>
      <c r="V33" s="3"/>
      <c r="W33" s="3"/>
      <c r="X33" s="3">
        <f t="shared" si="3"/>
        <v>0.49700000000000005</v>
      </c>
      <c r="Y33" s="3"/>
      <c r="Z33" s="3"/>
    </row>
    <row r="34" spans="1:26" x14ac:dyDescent="0.35">
      <c r="A34" s="3"/>
      <c r="B34" s="3" t="s">
        <v>68</v>
      </c>
      <c r="C34" s="3" t="s">
        <v>75</v>
      </c>
      <c r="D34" s="3"/>
      <c r="E34" s="3">
        <v>0.50700000000000001</v>
      </c>
      <c r="F34" s="4" t="s">
        <v>66</v>
      </c>
      <c r="G34" s="3"/>
      <c r="H34" s="5">
        <v>49.7</v>
      </c>
      <c r="I34" s="3" t="s">
        <v>57</v>
      </c>
      <c r="J34" s="3" t="s">
        <v>76</v>
      </c>
      <c r="K34" s="3">
        <f>EXP(-1.429 + 0.808*LOG(0.2))*365</f>
        <v>49.70619583789653</v>
      </c>
      <c r="L34" s="3"/>
      <c r="M34" s="3"/>
      <c r="N34" s="3"/>
      <c r="O34" s="3"/>
      <c r="P34" s="3"/>
      <c r="Q34" s="3"/>
      <c r="R34" s="3"/>
      <c r="S34" s="3"/>
      <c r="T34" s="3">
        <v>100</v>
      </c>
      <c r="U34" s="3"/>
      <c r="V34" s="3"/>
      <c r="W34" s="3"/>
      <c r="X34" s="3">
        <f t="shared" si="3"/>
        <v>0.49700000000000005</v>
      </c>
      <c r="Y34" s="3"/>
      <c r="Z34" s="3"/>
    </row>
    <row r="35" spans="1:26" x14ac:dyDescent="0.35">
      <c r="A35" s="3"/>
      <c r="B35" s="3" t="s">
        <v>77</v>
      </c>
      <c r="C35" s="10" t="s">
        <v>78</v>
      </c>
      <c r="D35" s="3"/>
      <c r="E35" s="3">
        <v>874</v>
      </c>
      <c r="F35" s="4" t="s">
        <v>79</v>
      </c>
      <c r="G35" s="3"/>
      <c r="H35" s="5">
        <v>220.005</v>
      </c>
      <c r="I35" s="3"/>
      <c r="J35" s="3"/>
      <c r="K35" s="3"/>
      <c r="L35" s="3"/>
      <c r="M35" s="3"/>
      <c r="N35" s="3"/>
      <c r="O35" s="3"/>
      <c r="P35" s="3"/>
      <c r="Q35" s="3"/>
      <c r="R35" s="3"/>
      <c r="S35" s="3"/>
      <c r="T35" s="3"/>
      <c r="U35" s="3"/>
      <c r="V35" s="3"/>
      <c r="W35" s="3"/>
      <c r="X35" s="3"/>
      <c r="Y35" s="3"/>
      <c r="Z35" s="3" t="s">
        <v>80</v>
      </c>
    </row>
    <row r="36" spans="1:26" x14ac:dyDescent="0.35">
      <c r="A36" s="3"/>
      <c r="B36" s="3"/>
      <c r="C36" s="10" t="s">
        <v>81</v>
      </c>
      <c r="D36" s="3"/>
      <c r="E36" s="3">
        <v>213.91</v>
      </c>
      <c r="F36" s="4" t="s">
        <v>82</v>
      </c>
      <c r="G36" s="3"/>
      <c r="H36" s="5">
        <v>209.87799999999999</v>
      </c>
      <c r="I36" s="3"/>
      <c r="J36" s="3"/>
      <c r="K36" s="3"/>
      <c r="L36" s="3"/>
      <c r="M36" s="3"/>
      <c r="N36" s="3"/>
      <c r="O36" s="3"/>
      <c r="P36" s="3"/>
      <c r="Q36" s="3"/>
      <c r="R36" s="3"/>
      <c r="S36" s="3"/>
      <c r="T36" s="3"/>
      <c r="U36" s="3"/>
      <c r="V36" s="3"/>
      <c r="W36" s="3"/>
      <c r="X36" s="3"/>
      <c r="Y36" s="3"/>
      <c r="Z36" s="3"/>
    </row>
    <row r="37" spans="1:26" x14ac:dyDescent="0.35">
      <c r="A37" s="3"/>
      <c r="B37" s="3"/>
      <c r="C37" s="3" t="s">
        <v>83</v>
      </c>
      <c r="D37" s="3"/>
      <c r="E37" s="3">
        <v>160.928</v>
      </c>
      <c r="F37" s="3" t="s">
        <v>84</v>
      </c>
      <c r="G37" s="3"/>
      <c r="H37" s="5">
        <v>133.22499999999999</v>
      </c>
      <c r="I37" s="3"/>
      <c r="J37" s="3"/>
      <c r="K37" s="3"/>
      <c r="L37" s="3"/>
      <c r="M37" s="3"/>
      <c r="N37" s="3"/>
      <c r="O37" s="3"/>
      <c r="P37" s="3"/>
      <c r="Q37" s="3"/>
      <c r="R37" s="3"/>
      <c r="S37" s="3"/>
      <c r="T37" s="3"/>
      <c r="U37" s="3"/>
      <c r="V37" s="3"/>
      <c r="W37" s="3"/>
      <c r="X37" s="3"/>
      <c r="Y37" s="3"/>
      <c r="Z37" s="3"/>
    </row>
    <row r="38" spans="1:26" x14ac:dyDescent="0.35">
      <c r="A38" s="3"/>
      <c r="B38" s="3"/>
      <c r="C38" s="11" t="s">
        <v>85</v>
      </c>
      <c r="D38" s="3" t="s">
        <v>153</v>
      </c>
      <c r="E38" s="3">
        <f>1.6*10000</f>
        <v>16000</v>
      </c>
      <c r="F38" s="3" t="s">
        <v>152</v>
      </c>
      <c r="G38" s="3"/>
      <c r="H38" s="5">
        <v>2</v>
      </c>
      <c r="I38" s="3" t="s">
        <v>152</v>
      </c>
      <c r="J38" s="3"/>
      <c r="K38" s="3"/>
      <c r="L38" s="3"/>
      <c r="M38" s="3"/>
      <c r="N38" s="3"/>
      <c r="O38" s="3"/>
      <c r="P38" s="3"/>
      <c r="Q38" s="3"/>
      <c r="R38" s="3"/>
      <c r="S38" s="3"/>
      <c r="T38" s="3"/>
      <c r="U38" s="3"/>
      <c r="V38" s="3"/>
      <c r="W38" s="3"/>
      <c r="X38" s="3"/>
      <c r="Y38" s="3"/>
      <c r="Z38" s="3"/>
    </row>
    <row r="39" spans="1:26" x14ac:dyDescent="0.35">
      <c r="A39" s="3"/>
      <c r="B39" s="3"/>
      <c r="C39" s="11" t="s">
        <v>86</v>
      </c>
      <c r="D39" s="3"/>
      <c r="E39" s="3"/>
      <c r="F39" s="3"/>
      <c r="G39" s="3"/>
      <c r="H39" s="5"/>
      <c r="I39" s="3"/>
      <c r="J39" s="3"/>
      <c r="K39" s="3"/>
      <c r="L39" s="3"/>
      <c r="M39" s="3"/>
      <c r="N39" s="3"/>
      <c r="O39" s="3"/>
      <c r="P39" s="3"/>
      <c r="Q39" s="3"/>
      <c r="R39" s="3"/>
      <c r="S39" s="3"/>
      <c r="T39" s="3"/>
      <c r="U39" s="3"/>
      <c r="V39" s="3"/>
      <c r="W39" s="3"/>
      <c r="X39" s="3"/>
      <c r="Y39" s="3"/>
      <c r="Z39" s="3"/>
    </row>
    <row r="40" spans="1:26" x14ac:dyDescent="0.35">
      <c r="A40" s="3"/>
      <c r="B40" s="3" t="s">
        <v>87</v>
      </c>
      <c r="C40" s="3" t="s">
        <v>87</v>
      </c>
      <c r="D40" s="3" t="s">
        <v>88</v>
      </c>
      <c r="E40" s="3"/>
      <c r="F40" s="3"/>
      <c r="G40" s="3"/>
      <c r="H40" s="5"/>
      <c r="I40" s="3"/>
      <c r="J40" s="3"/>
      <c r="K40" s="3"/>
      <c r="L40" s="3"/>
      <c r="M40" s="3"/>
      <c r="N40" s="3"/>
      <c r="O40" s="3"/>
      <c r="P40" s="3"/>
      <c r="Q40" s="3"/>
      <c r="R40" s="3"/>
      <c r="S40" s="3"/>
      <c r="T40" s="3"/>
      <c r="U40" s="3"/>
      <c r="V40" s="3"/>
      <c r="W40" s="3"/>
      <c r="X40" s="3"/>
      <c r="Y40" s="3"/>
      <c r="Z40" s="3"/>
    </row>
    <row r="41" spans="1:26" x14ac:dyDescent="0.35">
      <c r="A41" s="3"/>
      <c r="B41" s="3"/>
      <c r="C41" s="3"/>
      <c r="D41" s="3"/>
      <c r="E41" s="3"/>
      <c r="F41" s="3"/>
      <c r="G41" s="3"/>
      <c r="H41" s="5"/>
      <c r="I41" s="3"/>
      <c r="J41" s="3"/>
      <c r="K41" s="3"/>
      <c r="L41" s="3"/>
      <c r="M41" s="3"/>
      <c r="N41" s="3"/>
      <c r="O41" s="3"/>
      <c r="P41" s="3"/>
      <c r="Q41" s="3"/>
      <c r="R41" s="3"/>
      <c r="S41" s="3"/>
      <c r="T41" s="3"/>
      <c r="U41" s="3"/>
      <c r="V41" s="3"/>
      <c r="W41" s="3"/>
      <c r="X41" s="3"/>
      <c r="Y41" s="3"/>
      <c r="Z41" s="3"/>
    </row>
    <row r="42" spans="1:26" ht="188.5" x14ac:dyDescent="0.35">
      <c r="A42" s="3"/>
      <c r="B42" s="3"/>
      <c r="C42" s="3" t="s">
        <v>89</v>
      </c>
      <c r="D42" s="3"/>
      <c r="E42" s="3"/>
      <c r="F42" s="3"/>
      <c r="G42" s="3"/>
      <c r="H42" s="12" t="str">
        <f>ROUND(H2,4)&amp;","&amp;ROUND(H3,4)&amp;","&amp;ROUND(H4,4)&amp;","&amp;ROUND(H5,4)&amp;","&amp;ROUND(H6,4)&amp;","&amp;ROUND(H7,4)&amp;","&amp;ROUND(H8,4)&amp;","&amp;ROUND(H9,4)&amp;","&amp;ROUND(H10,4)&amp;","&amp;ROUND(H11,4)&amp;","&amp;ROUND(H12,4)&amp;","&amp;ROUND(H13,4)&amp;","&amp;ROUND(H15,4)&amp;","&amp;ROUND(H16,4)&amp;","&amp;ROUND(H17,4)&amp;","&amp;ROUND(H18,4)&amp;","&amp;ROUND(H19,4)&amp;","&amp;ROUND(H21,4)&amp;","&amp;ROUND(H22,4)&amp;","&amp;ROUND(H24,4)&amp;","&amp;ROUND(H26,4)&amp;","&amp;ROUND(H28,4)&amp;","&amp;ROUND(H29,4)&amp;","&amp;ROUND(H31,4)&amp;","&amp;ROUND(H32,4)&amp;","&amp;ROUND(H33,4)&amp;","&amp;ROUND(H34,4)&amp;","&amp;ROUND(H35,4)&amp;","&amp;ROUND(H36,4)&amp;","&amp;ROUND(H37,4)&amp;","&amp;ROUND(H40,4)&amp;",NA"</f>
        <v>0.5304,0.5304,0.6778,1.1225,0.7997,1.0595,0.7837,0.5815,0.5272,0.5721,0.4994,0.4994,0.6997,0.6851,0.5504,0.5827,0.4143,1.2,2,3,3,3,2,57.3,52.02,49.7,49.7,220.005,209.878,133.225,0,NA</v>
      </c>
      <c r="I42" s="3"/>
      <c r="J42" s="3"/>
      <c r="K42" s="3"/>
      <c r="L42" s="3"/>
      <c r="M42" s="3"/>
      <c r="N42" s="3"/>
      <c r="O42" s="3"/>
      <c r="P42" s="3"/>
      <c r="Q42" s="3"/>
      <c r="R42" s="3"/>
      <c r="S42" s="3"/>
      <c r="T42" s="3"/>
      <c r="U42" s="3"/>
      <c r="V42" s="3"/>
      <c r="W42" s="3"/>
      <c r="X42" s="3"/>
      <c r="Y42" s="3"/>
      <c r="Z42" s="3"/>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03784-4B6F-4B20-972D-79163B018065}">
  <dimension ref="A1:D21"/>
  <sheetViews>
    <sheetView workbookViewId="0">
      <selection activeCell="C17" sqref="C17"/>
    </sheetView>
  </sheetViews>
  <sheetFormatPr defaultRowHeight="14.5" x14ac:dyDescent="0.35"/>
  <cols>
    <col min="1" max="1" width="12.453125" customWidth="1"/>
    <col min="2" max="2" width="20.6328125" customWidth="1"/>
  </cols>
  <sheetData>
    <row r="1" spans="1:4" x14ac:dyDescent="0.35">
      <c r="A1" t="s">
        <v>172</v>
      </c>
      <c r="B1" t="s">
        <v>96</v>
      </c>
      <c r="C1" t="s">
        <v>157</v>
      </c>
      <c r="D1" t="s">
        <v>174</v>
      </c>
    </row>
    <row r="2" spans="1:4" x14ac:dyDescent="0.35">
      <c r="A2" t="s">
        <v>126</v>
      </c>
      <c r="B2" t="s">
        <v>81</v>
      </c>
      <c r="C2">
        <v>50</v>
      </c>
      <c r="D2" t="s">
        <v>179</v>
      </c>
    </row>
    <row r="3" spans="1:4" x14ac:dyDescent="0.35">
      <c r="A3" t="s">
        <v>78</v>
      </c>
      <c r="B3" t="s">
        <v>81</v>
      </c>
      <c r="C3">
        <v>50</v>
      </c>
      <c r="D3" t="s">
        <v>179</v>
      </c>
    </row>
    <row r="4" spans="1:4" x14ac:dyDescent="0.35">
      <c r="A4" t="s">
        <v>168</v>
      </c>
      <c r="B4" t="s">
        <v>81</v>
      </c>
      <c r="C4">
        <v>50</v>
      </c>
      <c r="D4" t="s">
        <v>179</v>
      </c>
    </row>
    <row r="5" spans="1:4" x14ac:dyDescent="0.35">
      <c r="A5" t="s">
        <v>173</v>
      </c>
      <c r="B5" t="s">
        <v>81</v>
      </c>
      <c r="C5" s="3">
        <v>213.91</v>
      </c>
      <c r="D5" t="s">
        <v>176</v>
      </c>
    </row>
    <row r="6" spans="1:4" x14ac:dyDescent="0.35">
      <c r="A6" t="s">
        <v>126</v>
      </c>
      <c r="B6" s="3" t="s">
        <v>85</v>
      </c>
      <c r="C6" s="3">
        <f>1.6*10000</f>
        <v>16000</v>
      </c>
      <c r="D6" t="s">
        <v>175</v>
      </c>
    </row>
    <row r="7" spans="1:4" x14ac:dyDescent="0.35">
      <c r="A7" t="s">
        <v>78</v>
      </c>
      <c r="B7" s="3" t="s">
        <v>85</v>
      </c>
      <c r="C7">
        <v>0</v>
      </c>
    </row>
    <row r="8" spans="1:4" x14ac:dyDescent="0.35">
      <c r="A8" t="s">
        <v>168</v>
      </c>
      <c r="B8" s="3" t="s">
        <v>85</v>
      </c>
      <c r="C8">
        <v>0</v>
      </c>
    </row>
    <row r="9" spans="1:4" x14ac:dyDescent="0.35">
      <c r="A9" t="s">
        <v>173</v>
      </c>
      <c r="B9" s="3" t="s">
        <v>85</v>
      </c>
      <c r="C9">
        <v>0</v>
      </c>
    </row>
    <row r="10" spans="1:4" x14ac:dyDescent="0.35">
      <c r="A10" t="s">
        <v>126</v>
      </c>
      <c r="B10" t="s">
        <v>78</v>
      </c>
      <c r="C10">
        <v>0</v>
      </c>
    </row>
    <row r="11" spans="1:4" x14ac:dyDescent="0.35">
      <c r="A11" t="s">
        <v>78</v>
      </c>
      <c r="B11" t="s">
        <v>78</v>
      </c>
      <c r="C11">
        <f>0.25*10000*10</f>
        <v>25000</v>
      </c>
      <c r="D11" t="s">
        <v>177</v>
      </c>
    </row>
    <row r="12" spans="1:4" x14ac:dyDescent="0.35">
      <c r="A12" t="s">
        <v>168</v>
      </c>
      <c r="B12" t="s">
        <v>78</v>
      </c>
      <c r="C12">
        <v>0</v>
      </c>
    </row>
    <row r="13" spans="1:4" x14ac:dyDescent="0.35">
      <c r="A13" t="s">
        <v>173</v>
      </c>
      <c r="B13" t="s">
        <v>78</v>
      </c>
      <c r="C13">
        <v>0</v>
      </c>
    </row>
    <row r="14" spans="1:4" x14ac:dyDescent="0.35">
      <c r="A14" t="s">
        <v>126</v>
      </c>
      <c r="B14" s="3" t="s">
        <v>83</v>
      </c>
      <c r="C14">
        <f>0.044*10000</f>
        <v>440</v>
      </c>
      <c r="D14" t="s">
        <v>181</v>
      </c>
    </row>
    <row r="15" spans="1:4" x14ac:dyDescent="0.35">
      <c r="A15" t="s">
        <v>78</v>
      </c>
      <c r="B15" s="3" t="s">
        <v>83</v>
      </c>
      <c r="C15">
        <f>0.024*10000</f>
        <v>240</v>
      </c>
      <c r="D15" t="s">
        <v>180</v>
      </c>
    </row>
    <row r="16" spans="1:4" x14ac:dyDescent="0.35">
      <c r="A16" t="s">
        <v>168</v>
      </c>
      <c r="B16" s="3" t="s">
        <v>83</v>
      </c>
      <c r="C16">
        <f>0.015*10000</f>
        <v>150</v>
      </c>
      <c r="D16" t="s">
        <v>180</v>
      </c>
    </row>
    <row r="17" spans="1:4" x14ac:dyDescent="0.35">
      <c r="A17" t="s">
        <v>173</v>
      </c>
      <c r="B17" s="3" t="s">
        <v>83</v>
      </c>
      <c r="C17">
        <f>0.04*10000</f>
        <v>400</v>
      </c>
      <c r="D17" t="s">
        <v>180</v>
      </c>
    </row>
    <row r="18" spans="1:4" x14ac:dyDescent="0.35">
      <c r="A18" t="s">
        <v>126</v>
      </c>
      <c r="B18" s="3" t="s">
        <v>86</v>
      </c>
      <c r="C18">
        <v>0</v>
      </c>
    </row>
    <row r="19" spans="1:4" x14ac:dyDescent="0.35">
      <c r="A19" t="s">
        <v>78</v>
      </c>
      <c r="B19" s="3" t="s">
        <v>86</v>
      </c>
      <c r="C19">
        <v>0</v>
      </c>
    </row>
    <row r="20" spans="1:4" x14ac:dyDescent="0.35">
      <c r="A20" t="s">
        <v>168</v>
      </c>
      <c r="B20" s="3" t="s">
        <v>86</v>
      </c>
      <c r="C20">
        <f>0.04*4*10000*10</f>
        <v>16000</v>
      </c>
      <c r="D20" t="s">
        <v>178</v>
      </c>
    </row>
    <row r="21" spans="1:4" x14ac:dyDescent="0.35">
      <c r="A21" t="s">
        <v>173</v>
      </c>
      <c r="B21" s="3" t="s">
        <v>86</v>
      </c>
      <c r="C2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072BE-048E-4823-9B10-4C85A9AD3529}">
  <dimension ref="A1:J30"/>
  <sheetViews>
    <sheetView workbookViewId="0">
      <selection activeCell="C24" sqref="C24"/>
    </sheetView>
  </sheetViews>
  <sheetFormatPr defaultRowHeight="14.5" x14ac:dyDescent="0.35"/>
  <cols>
    <col min="1" max="1" width="21.7265625" customWidth="1"/>
    <col min="2" max="4" width="19.36328125" customWidth="1"/>
    <col min="5" max="5" width="14.1796875" customWidth="1"/>
    <col min="6" max="6" width="18" customWidth="1"/>
    <col min="7" max="7" width="18.54296875" customWidth="1"/>
    <col min="8" max="8" width="17.90625" customWidth="1"/>
    <col min="9" max="9" width="29.7265625" customWidth="1"/>
    <col min="10" max="10" width="25.90625" customWidth="1"/>
  </cols>
  <sheetData>
    <row r="1" spans="1:10" x14ac:dyDescent="0.35">
      <c r="A1" t="s">
        <v>96</v>
      </c>
      <c r="B1" t="s">
        <v>97</v>
      </c>
      <c r="C1" t="s">
        <v>100</v>
      </c>
      <c r="D1" t="s">
        <v>112</v>
      </c>
      <c r="E1" t="s">
        <v>98</v>
      </c>
      <c r="F1" t="s">
        <v>101</v>
      </c>
      <c r="G1" t="s">
        <v>102</v>
      </c>
      <c r="H1" t="s">
        <v>103</v>
      </c>
      <c r="I1" t="s">
        <v>104</v>
      </c>
      <c r="J1" t="s">
        <v>8</v>
      </c>
    </row>
    <row r="2" spans="1:10" x14ac:dyDescent="0.35">
      <c r="A2" s="3" t="s">
        <v>54</v>
      </c>
      <c r="B2" s="3" t="s">
        <v>55</v>
      </c>
      <c r="C2" s="3" t="s">
        <v>109</v>
      </c>
      <c r="D2" s="3" t="s">
        <v>113</v>
      </c>
      <c r="E2">
        <v>0.14050000000000001</v>
      </c>
      <c r="F2">
        <v>2.8999999999999998E-2</v>
      </c>
      <c r="G2">
        <v>0.6835</v>
      </c>
      <c r="H2">
        <v>0.13400000000000001</v>
      </c>
      <c r="I2">
        <v>2.5999999999999999E-2</v>
      </c>
    </row>
    <row r="3" spans="1:10" x14ac:dyDescent="0.35">
      <c r="A3" s="3" t="s">
        <v>54</v>
      </c>
      <c r="B3" s="3" t="s">
        <v>59</v>
      </c>
      <c r="C3" s="3"/>
      <c r="D3" s="3"/>
    </row>
    <row r="4" spans="1:10" x14ac:dyDescent="0.35">
      <c r="A4" s="3" t="s">
        <v>54</v>
      </c>
      <c r="B4" s="3" t="s">
        <v>114</v>
      </c>
      <c r="C4" s="3" t="s">
        <v>109</v>
      </c>
      <c r="D4" s="3" t="s">
        <v>113</v>
      </c>
      <c r="E4">
        <v>0.1072</v>
      </c>
      <c r="F4">
        <v>5.6333333333333339E-2</v>
      </c>
      <c r="G4">
        <v>0.31559999999999999</v>
      </c>
      <c r="H4">
        <v>0.45540000000000003</v>
      </c>
      <c r="I4">
        <v>0.14633333333333334</v>
      </c>
    </row>
    <row r="5" spans="1:10" x14ac:dyDescent="0.35">
      <c r="A5" s="3" t="s">
        <v>54</v>
      </c>
      <c r="B5" s="3" t="s">
        <v>115</v>
      </c>
      <c r="C5" s="3" t="s">
        <v>109</v>
      </c>
      <c r="D5" s="3" t="s">
        <v>113</v>
      </c>
      <c r="E5">
        <v>0.14660000000000001</v>
      </c>
      <c r="F5">
        <v>0.156</v>
      </c>
      <c r="G5">
        <v>0.25380000000000003</v>
      </c>
      <c r="H5">
        <v>0.26799999999999996</v>
      </c>
      <c r="I5">
        <v>0.39533333333333331</v>
      </c>
    </row>
    <row r="6" spans="1:10" x14ac:dyDescent="0.35">
      <c r="A6" s="3" t="s">
        <v>54</v>
      </c>
      <c r="B6" s="3" t="s">
        <v>60</v>
      </c>
      <c r="C6" s="3"/>
      <c r="D6" s="3"/>
    </row>
    <row r="7" spans="1:10" x14ac:dyDescent="0.35">
      <c r="A7" s="3" t="s">
        <v>54</v>
      </c>
      <c r="B7" s="3" t="s">
        <v>116</v>
      </c>
      <c r="C7" s="3" t="s">
        <v>109</v>
      </c>
      <c r="D7" s="3" t="s">
        <v>113</v>
      </c>
      <c r="E7">
        <v>0.38000000000000006</v>
      </c>
      <c r="F7">
        <v>4.3000000000000003E-2</v>
      </c>
      <c r="G7">
        <v>0.13966666666666669</v>
      </c>
      <c r="H7">
        <v>0.42266666666666658</v>
      </c>
      <c r="I7">
        <v>4.2999999999999997E-2</v>
      </c>
    </row>
    <row r="8" spans="1:10" x14ac:dyDescent="0.35">
      <c r="A8" s="3" t="s">
        <v>54</v>
      </c>
      <c r="B8" s="3" t="s">
        <v>62</v>
      </c>
      <c r="C8" s="3"/>
      <c r="D8" s="3"/>
    </row>
    <row r="9" spans="1:10" x14ac:dyDescent="0.35">
      <c r="A9" s="3" t="s">
        <v>54</v>
      </c>
      <c r="B9" s="3" t="s">
        <v>92</v>
      </c>
      <c r="C9" s="3" t="s">
        <v>148</v>
      </c>
      <c r="D9" s="3" t="s">
        <v>149</v>
      </c>
      <c r="E9">
        <v>1.0999999999999999E-2</v>
      </c>
      <c r="F9">
        <v>1.2E-2</v>
      </c>
      <c r="G9">
        <v>8.9999999999999993E-3</v>
      </c>
      <c r="H9">
        <v>0.96799999999999997</v>
      </c>
    </row>
    <row r="10" spans="1:10" x14ac:dyDescent="0.35">
      <c r="A10" s="3" t="s">
        <v>54</v>
      </c>
      <c r="B10" s="3" t="s">
        <v>92</v>
      </c>
      <c r="C10" s="3" t="s">
        <v>109</v>
      </c>
      <c r="D10" s="3" t="s">
        <v>113</v>
      </c>
      <c r="E10">
        <v>0.253</v>
      </c>
      <c r="F10">
        <v>3.3500000000000002E-2</v>
      </c>
      <c r="G10">
        <v>0.16900000000000001</v>
      </c>
      <c r="H10">
        <v>0.54400000000000004</v>
      </c>
    </row>
    <row r="11" spans="1:10" x14ac:dyDescent="0.35">
      <c r="A11" s="3" t="s">
        <v>54</v>
      </c>
      <c r="B11" s="3" t="s">
        <v>99</v>
      </c>
      <c r="C11" s="3"/>
      <c r="D11" s="3"/>
    </row>
    <row r="12" spans="1:10" x14ac:dyDescent="0.35">
      <c r="A12" s="3" t="s">
        <v>54</v>
      </c>
      <c r="B12" s="3" t="s">
        <v>111</v>
      </c>
      <c r="C12" s="3" t="s">
        <v>109</v>
      </c>
      <c r="D12" s="3" t="s">
        <v>113</v>
      </c>
      <c r="E12">
        <v>0.16099999999999998</v>
      </c>
      <c r="F12">
        <v>4.725E-2</v>
      </c>
      <c r="G12">
        <v>0.29880000000000001</v>
      </c>
      <c r="H12">
        <v>0.47299999999999998</v>
      </c>
      <c r="I12">
        <v>7.3499999999999996E-2</v>
      </c>
    </row>
    <row r="13" spans="1:10" x14ac:dyDescent="0.35">
      <c r="A13" s="3" t="s">
        <v>54</v>
      </c>
      <c r="B13" s="3" t="s">
        <v>111</v>
      </c>
      <c r="C13" s="3" t="s">
        <v>148</v>
      </c>
      <c r="D13" s="3" t="s">
        <v>149</v>
      </c>
      <c r="E13">
        <v>4.1000000000000002E-2</v>
      </c>
      <c r="F13">
        <v>0.83199999999999996</v>
      </c>
      <c r="G13">
        <v>5.2999999999999999E-2</v>
      </c>
      <c r="H13">
        <v>7.3999999999999996E-2</v>
      </c>
    </row>
    <row r="14" spans="1:10" x14ac:dyDescent="0.35">
      <c r="A14" s="3" t="s">
        <v>54</v>
      </c>
      <c r="B14" s="3" t="s">
        <v>110</v>
      </c>
      <c r="C14" s="3" t="s">
        <v>148</v>
      </c>
      <c r="D14" s="3" t="s">
        <v>149</v>
      </c>
      <c r="E14">
        <v>2.5000000000000001E-2</v>
      </c>
      <c r="F14">
        <v>0.182</v>
      </c>
      <c r="G14">
        <v>0.34399999999999997</v>
      </c>
      <c r="H14">
        <v>0.44900000000000001</v>
      </c>
    </row>
    <row r="15" spans="1:10" x14ac:dyDescent="0.35">
      <c r="A15" s="3" t="s">
        <v>54</v>
      </c>
      <c r="B15" s="3" t="s">
        <v>151</v>
      </c>
      <c r="C15" s="3" t="s">
        <v>148</v>
      </c>
      <c r="D15" s="3" t="s">
        <v>149</v>
      </c>
    </row>
    <row r="16" spans="1:10" x14ac:dyDescent="0.35">
      <c r="A16" s="3" t="s">
        <v>54</v>
      </c>
      <c r="B16" s="3" t="s">
        <v>67</v>
      </c>
      <c r="C16" s="3"/>
      <c r="D16" s="3"/>
    </row>
    <row r="17" spans="1:10" x14ac:dyDescent="0.35">
      <c r="A17" s="3" t="s">
        <v>54</v>
      </c>
      <c r="B17" s="3" t="s">
        <v>117</v>
      </c>
      <c r="C17" s="3" t="s">
        <v>109</v>
      </c>
      <c r="D17" s="3" t="s">
        <v>113</v>
      </c>
      <c r="E17">
        <v>3.4999999999999996E-2</v>
      </c>
      <c r="F17">
        <v>0.14175000000000001</v>
      </c>
      <c r="G17">
        <v>0.26733333333333331</v>
      </c>
      <c r="H17">
        <v>0.35683333333333334</v>
      </c>
      <c r="I17">
        <v>0.49300000000000005</v>
      </c>
      <c r="J17" t="s">
        <v>118</v>
      </c>
    </row>
    <row r="18" spans="1:10" x14ac:dyDescent="0.35">
      <c r="A18" s="3" t="s">
        <v>68</v>
      </c>
      <c r="B18" s="3" t="s">
        <v>95</v>
      </c>
      <c r="C18" s="3"/>
      <c r="D18" s="3"/>
    </row>
    <row r="19" spans="1:10" x14ac:dyDescent="0.35">
      <c r="A19" s="3" t="s">
        <v>68</v>
      </c>
      <c r="B19" s="3" t="s">
        <v>69</v>
      </c>
      <c r="C19" s="3" t="s">
        <v>109</v>
      </c>
      <c r="D19" s="3"/>
      <c r="E19">
        <v>0.57999999999999996</v>
      </c>
      <c r="F19">
        <v>4.2500000000000003E-2</v>
      </c>
      <c r="G19">
        <v>8.7999999999999995E-2</v>
      </c>
      <c r="H19">
        <v>0.28949999999999998</v>
      </c>
    </row>
    <row r="20" spans="1:10" x14ac:dyDescent="0.35">
      <c r="A20" s="3" t="s">
        <v>68</v>
      </c>
      <c r="B20" s="3" t="s">
        <v>107</v>
      </c>
      <c r="C20" s="3"/>
      <c r="D20" s="3"/>
      <c r="E20">
        <v>0.8743333333333333</v>
      </c>
      <c r="F20">
        <v>1.1666666666666667E-2</v>
      </c>
      <c r="G20">
        <v>4.3666666666666666E-2</v>
      </c>
      <c r="H20">
        <v>6.3333333333333339E-2</v>
      </c>
      <c r="I20">
        <v>2.3E-2</v>
      </c>
    </row>
    <row r="21" spans="1:10" x14ac:dyDescent="0.35">
      <c r="A21" s="3" t="s">
        <v>68</v>
      </c>
      <c r="B21" s="3" t="s">
        <v>108</v>
      </c>
      <c r="C21" s="3" t="s">
        <v>109</v>
      </c>
      <c r="D21" s="3"/>
      <c r="E21">
        <v>0.627</v>
      </c>
      <c r="F21">
        <v>1.3666666666666667E-2</v>
      </c>
      <c r="G21">
        <v>0.21766666666666665</v>
      </c>
      <c r="H21">
        <v>0.13333333333333333</v>
      </c>
      <c r="I21">
        <v>2.4E-2</v>
      </c>
    </row>
    <row r="22" spans="1:10" x14ac:dyDescent="0.35">
      <c r="A22" s="3" t="s">
        <v>68</v>
      </c>
      <c r="B22" s="3" t="s">
        <v>147</v>
      </c>
      <c r="C22" s="3" t="s">
        <v>148</v>
      </c>
      <c r="D22" s="3" t="s">
        <v>149</v>
      </c>
      <c r="E22">
        <v>4.8000000000000001E-2</v>
      </c>
      <c r="F22">
        <v>1.4E-2</v>
      </c>
      <c r="G22">
        <v>8.9999999999999993E-3</v>
      </c>
      <c r="H22">
        <v>0.92800000000000005</v>
      </c>
      <c r="J22" t="s">
        <v>150</v>
      </c>
    </row>
    <row r="23" spans="1:10" x14ac:dyDescent="0.35">
      <c r="A23" s="3" t="s">
        <v>68</v>
      </c>
      <c r="B23" s="3" t="s">
        <v>71</v>
      </c>
      <c r="C23" s="3"/>
      <c r="D23" s="3"/>
    </row>
    <row r="24" spans="1:10" x14ac:dyDescent="0.35">
      <c r="A24" s="3" t="s">
        <v>68</v>
      </c>
      <c r="B24" s="3" t="s">
        <v>74</v>
      </c>
      <c r="C24" s="3"/>
      <c r="D24" s="3"/>
    </row>
    <row r="25" spans="1:10" x14ac:dyDescent="0.35">
      <c r="A25" s="3" t="s">
        <v>68</v>
      </c>
      <c r="B25" s="3" t="s">
        <v>75</v>
      </c>
      <c r="C25" s="3"/>
      <c r="D25" s="3"/>
    </row>
    <row r="28" spans="1:10" x14ac:dyDescent="0.35">
      <c r="A28" t="s">
        <v>105</v>
      </c>
    </row>
    <row r="29" spans="1:10" x14ac:dyDescent="0.35">
      <c r="A29" t="s">
        <v>106</v>
      </c>
    </row>
    <row r="30" spans="1:10" x14ac:dyDescent="0.35">
      <c r="A30" t="s">
        <v>154</v>
      </c>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65D2-CF0E-4D4C-9C66-9B0194DA64C1}">
  <dimension ref="A1:J23"/>
  <sheetViews>
    <sheetView workbookViewId="0">
      <selection activeCell="H17" sqref="H17"/>
    </sheetView>
  </sheetViews>
  <sheetFormatPr defaultRowHeight="14.5" x14ac:dyDescent="0.35"/>
  <cols>
    <col min="1" max="1" width="28.08984375" customWidth="1"/>
    <col min="3" max="3" width="13.36328125" customWidth="1"/>
    <col min="4" max="4" width="15.7265625" customWidth="1"/>
    <col min="5" max="5" width="20.08984375" customWidth="1"/>
    <col min="8" max="8" width="13" customWidth="1"/>
  </cols>
  <sheetData>
    <row r="1" spans="1:10" x14ac:dyDescent="0.35">
      <c r="A1" t="s">
        <v>97</v>
      </c>
      <c r="B1" t="s">
        <v>126</v>
      </c>
      <c r="C1" s="14" t="s">
        <v>127</v>
      </c>
      <c r="D1" t="s">
        <v>119</v>
      </c>
      <c r="E1" s="14" t="s">
        <v>128</v>
      </c>
      <c r="F1" t="s">
        <v>78</v>
      </c>
      <c r="G1" s="14" t="s">
        <v>129</v>
      </c>
      <c r="H1" t="s">
        <v>120</v>
      </c>
      <c r="I1" s="14" t="s">
        <v>130</v>
      </c>
      <c r="J1" t="s">
        <v>8</v>
      </c>
    </row>
    <row r="2" spans="1:10" x14ac:dyDescent="0.35">
      <c r="A2" t="s">
        <v>125</v>
      </c>
      <c r="B2">
        <v>0.35499999999999998</v>
      </c>
      <c r="C2" s="14">
        <v>0.16400000000000001</v>
      </c>
      <c r="D2">
        <v>0.22900000000000001</v>
      </c>
      <c r="E2" s="14">
        <v>0.17199999999999999</v>
      </c>
      <c r="F2">
        <v>0.30499999999999999</v>
      </c>
      <c r="G2" s="14">
        <v>0.11</v>
      </c>
      <c r="H2">
        <v>0.111</v>
      </c>
      <c r="I2" s="14">
        <v>8.6999999999999994E-2</v>
      </c>
    </row>
    <row r="3" spans="1:10" x14ac:dyDescent="0.35">
      <c r="A3" t="s">
        <v>138</v>
      </c>
      <c r="B3">
        <v>0.23599999999999999</v>
      </c>
      <c r="C3" s="14">
        <v>9.4E-2</v>
      </c>
      <c r="D3">
        <v>0.501</v>
      </c>
      <c r="E3" s="14">
        <v>0.127</v>
      </c>
      <c r="F3">
        <v>0.245</v>
      </c>
      <c r="G3" s="14">
        <v>6.5000000000000002E-2</v>
      </c>
      <c r="H3">
        <v>1.7999999999999999E-2</v>
      </c>
      <c r="I3" s="14">
        <v>2.5000000000000001E-2</v>
      </c>
    </row>
    <row r="4" spans="1:10" x14ac:dyDescent="0.35">
      <c r="A4" t="s">
        <v>134</v>
      </c>
      <c r="B4">
        <v>0.22</v>
      </c>
      <c r="C4" s="14">
        <v>0.105</v>
      </c>
      <c r="D4">
        <v>0.46700000000000003</v>
      </c>
      <c r="E4" s="14">
        <v>0.17399999999999999</v>
      </c>
      <c r="F4">
        <v>0.12</v>
      </c>
      <c r="G4" s="14">
        <v>9.0999999999999998E-2</v>
      </c>
      <c r="H4">
        <v>0.193</v>
      </c>
      <c r="I4" s="14">
        <v>9.7000000000000003E-2</v>
      </c>
    </row>
    <row r="5" spans="1:10" x14ac:dyDescent="0.35">
      <c r="A5" t="s">
        <v>136</v>
      </c>
      <c r="B5">
        <v>0.92800000000000005</v>
      </c>
      <c r="C5" s="14">
        <v>5.3999999999999999E-2</v>
      </c>
      <c r="D5">
        <v>1.4E-2</v>
      </c>
      <c r="E5" s="14">
        <v>1.4999999999999999E-2</v>
      </c>
      <c r="F5">
        <v>8.9999999999999993E-3</v>
      </c>
      <c r="G5" s="14">
        <v>0.01</v>
      </c>
      <c r="H5">
        <v>4.8000000000000001E-2</v>
      </c>
      <c r="I5" s="14">
        <v>4.8000000000000001E-2</v>
      </c>
      <c r="J5" t="s">
        <v>135</v>
      </c>
    </row>
    <row r="6" spans="1:10" x14ac:dyDescent="0.35">
      <c r="A6" t="s">
        <v>55</v>
      </c>
      <c r="B6">
        <v>0.96499999999999997</v>
      </c>
      <c r="C6" s="14">
        <v>5.3999999999999999E-2</v>
      </c>
      <c r="D6">
        <v>1.6E-2</v>
      </c>
      <c r="E6" s="14">
        <v>3.7999999999999999E-2</v>
      </c>
      <c r="F6">
        <v>8.0000000000000002E-3</v>
      </c>
      <c r="G6" s="14">
        <v>0.02</v>
      </c>
      <c r="H6">
        <v>1.0999999999999999E-2</v>
      </c>
      <c r="I6" s="14">
        <v>2.8000000000000001E-2</v>
      </c>
    </row>
    <row r="7" spans="1:10" x14ac:dyDescent="0.35">
      <c r="A7" t="s">
        <v>131</v>
      </c>
      <c r="B7">
        <v>8.9999999999999993E-3</v>
      </c>
      <c r="C7" s="14">
        <v>2.4E-2</v>
      </c>
      <c r="D7">
        <v>0.63300000000000001</v>
      </c>
      <c r="E7" s="14">
        <v>0.39300000000000002</v>
      </c>
      <c r="F7">
        <v>0.35199999999999998</v>
      </c>
      <c r="G7" s="14">
        <v>0.38900000000000001</v>
      </c>
      <c r="H7">
        <v>6.0000000000000001E-3</v>
      </c>
      <c r="I7" s="14">
        <v>1.6E-2</v>
      </c>
    </row>
    <row r="8" spans="1:10" x14ac:dyDescent="0.35">
      <c r="A8" t="s">
        <v>132</v>
      </c>
      <c r="B8">
        <v>0.94299999999999995</v>
      </c>
      <c r="C8" s="14">
        <v>6.3E-2</v>
      </c>
      <c r="D8">
        <v>2.8000000000000001E-2</v>
      </c>
      <c r="E8" s="14">
        <v>4.7E-2</v>
      </c>
      <c r="F8">
        <v>0.02</v>
      </c>
      <c r="G8" s="14">
        <v>3.4000000000000002E-2</v>
      </c>
      <c r="H8">
        <v>8.9999999999999993E-3</v>
      </c>
      <c r="I8" s="14">
        <v>2.3E-2</v>
      </c>
    </row>
    <row r="9" spans="1:10" x14ac:dyDescent="0.35">
      <c r="A9" t="s">
        <v>137</v>
      </c>
      <c r="B9">
        <v>0.53100000000000003</v>
      </c>
      <c r="C9" s="14">
        <v>6.4000000000000001E-2</v>
      </c>
      <c r="D9">
        <v>0.251</v>
      </c>
      <c r="E9" s="14">
        <v>9.1999999999999998E-2</v>
      </c>
      <c r="F9">
        <v>0.159</v>
      </c>
      <c r="G9" s="14">
        <v>5.3999999999999999E-2</v>
      </c>
      <c r="H9">
        <v>5.8999999999999997E-2</v>
      </c>
      <c r="I9" s="14">
        <v>4.7E-2</v>
      </c>
    </row>
    <row r="10" spans="1:10" x14ac:dyDescent="0.35">
      <c r="A10" t="s">
        <v>140</v>
      </c>
      <c r="B10">
        <v>0.27500000000000002</v>
      </c>
      <c r="C10" s="14">
        <v>0.19800000000000001</v>
      </c>
      <c r="D10">
        <v>0.01</v>
      </c>
      <c r="E10" s="14">
        <v>0.03</v>
      </c>
      <c r="F10">
        <v>5.0000000000000001E-3</v>
      </c>
      <c r="G10" s="14">
        <v>1.2999999999999999E-2</v>
      </c>
      <c r="H10">
        <v>0.71</v>
      </c>
      <c r="I10" s="14">
        <v>0.19500000000000001</v>
      </c>
    </row>
    <row r="11" spans="1:10" x14ac:dyDescent="0.35">
      <c r="A11" t="s">
        <v>121</v>
      </c>
      <c r="B11">
        <v>0.441</v>
      </c>
      <c r="C11" s="14">
        <v>0.13300000000000001</v>
      </c>
      <c r="D11">
        <v>6.8000000000000005E-2</v>
      </c>
      <c r="E11" s="14">
        <v>6.8000000000000005E-2</v>
      </c>
      <c r="F11">
        <v>0.41399999999999998</v>
      </c>
      <c r="G11" s="14">
        <v>9.6000000000000002E-2</v>
      </c>
      <c r="H11">
        <v>7.5999999999999998E-2</v>
      </c>
      <c r="I11" s="14">
        <v>0.08</v>
      </c>
    </row>
    <row r="12" spans="1:10" x14ac:dyDescent="0.35">
      <c r="A12" t="s">
        <v>139</v>
      </c>
      <c r="B12">
        <v>0.627</v>
      </c>
      <c r="C12" s="14">
        <v>7.5999999999999998E-2</v>
      </c>
      <c r="D12">
        <v>0.14599999999999999</v>
      </c>
      <c r="E12" s="14">
        <v>9.1999999999999998E-2</v>
      </c>
      <c r="F12">
        <v>0.153</v>
      </c>
      <c r="G12" s="14">
        <v>0.06</v>
      </c>
      <c r="H12">
        <v>7.4999999999999997E-2</v>
      </c>
      <c r="I12" s="14">
        <v>0.06</v>
      </c>
    </row>
    <row r="13" spans="1:10" x14ac:dyDescent="0.35">
      <c r="A13" t="s">
        <v>92</v>
      </c>
      <c r="B13">
        <v>0.96799999999999997</v>
      </c>
      <c r="C13" s="14">
        <v>6.4000000000000001E-2</v>
      </c>
      <c r="D13">
        <v>1.2E-2</v>
      </c>
      <c r="E13" s="14">
        <v>0.04</v>
      </c>
      <c r="F13">
        <v>8.9999999999999993E-3</v>
      </c>
      <c r="G13" s="14">
        <v>2.7E-2</v>
      </c>
      <c r="H13">
        <v>1.0999999999999999E-2</v>
      </c>
      <c r="I13" s="14">
        <v>3.7999999999999999E-2</v>
      </c>
    </row>
    <row r="14" spans="1:10" x14ac:dyDescent="0.35">
      <c r="A14" t="s">
        <v>133</v>
      </c>
      <c r="B14">
        <v>0.81599999999999995</v>
      </c>
      <c r="C14" s="14">
        <v>0.16200000000000001</v>
      </c>
      <c r="D14">
        <v>6.9000000000000006E-2</v>
      </c>
      <c r="E14" s="14">
        <v>9.6000000000000002E-2</v>
      </c>
      <c r="F14">
        <v>3.7999999999999999E-2</v>
      </c>
      <c r="G14" s="14">
        <v>5.8999999999999997E-2</v>
      </c>
      <c r="H14">
        <v>7.6999999999999999E-2</v>
      </c>
      <c r="I14" s="14">
        <v>0.106</v>
      </c>
    </row>
    <row r="15" spans="1:10" x14ac:dyDescent="0.35">
      <c r="A15" t="s">
        <v>146</v>
      </c>
      <c r="B15">
        <v>0.60399999999999998</v>
      </c>
      <c r="C15" s="14">
        <v>0.25</v>
      </c>
      <c r="D15">
        <v>0.17100000000000001</v>
      </c>
      <c r="E15" s="14">
        <v>0.20799999999999999</v>
      </c>
      <c r="F15">
        <v>0.105</v>
      </c>
      <c r="G15" s="14">
        <v>0.114</v>
      </c>
      <c r="H15">
        <v>0.11899999999999999</v>
      </c>
      <c r="I15" s="14">
        <v>0.13500000000000001</v>
      </c>
    </row>
    <row r="16" spans="1:10" x14ac:dyDescent="0.35">
      <c r="A16" t="s">
        <v>145</v>
      </c>
      <c r="B16">
        <v>0.46100000000000002</v>
      </c>
      <c r="C16" s="14">
        <v>0.152</v>
      </c>
      <c r="D16">
        <v>8.4000000000000005E-2</v>
      </c>
      <c r="E16" s="14">
        <v>7.6999999999999999E-2</v>
      </c>
      <c r="F16">
        <v>5.2999999999999999E-2</v>
      </c>
      <c r="G16" s="14">
        <v>4.7E-2</v>
      </c>
      <c r="H16">
        <v>0.40100000000000002</v>
      </c>
      <c r="I16" s="14">
        <v>0.127</v>
      </c>
    </row>
    <row r="17" spans="1:9" x14ac:dyDescent="0.35">
      <c r="A17" t="s">
        <v>144</v>
      </c>
      <c r="B17">
        <v>0.44900000000000001</v>
      </c>
      <c r="C17" s="14">
        <v>0.124</v>
      </c>
      <c r="D17">
        <v>0.182</v>
      </c>
      <c r="E17" s="14">
        <v>0.16300000000000001</v>
      </c>
      <c r="F17">
        <v>0.34399999999999997</v>
      </c>
      <c r="G17" s="14">
        <v>8.7999999999999995E-2</v>
      </c>
      <c r="H17">
        <v>2.5000000000000001E-2</v>
      </c>
      <c r="I17" s="14">
        <v>3.5999999999999997E-2</v>
      </c>
    </row>
    <row r="18" spans="1:9" x14ac:dyDescent="0.35">
      <c r="A18" t="s">
        <v>143</v>
      </c>
      <c r="B18">
        <v>0.53800000000000003</v>
      </c>
      <c r="C18" s="14">
        <v>7.0000000000000007E-2</v>
      </c>
      <c r="D18">
        <v>0.129</v>
      </c>
      <c r="E18" s="14">
        <v>7.1999999999999995E-2</v>
      </c>
      <c r="F18">
        <v>3.5999999999999997E-2</v>
      </c>
      <c r="G18" s="14">
        <v>2.9000000000000001E-2</v>
      </c>
      <c r="H18">
        <v>0.29699999999999999</v>
      </c>
      <c r="I18" s="14">
        <v>0.06</v>
      </c>
    </row>
    <row r="19" spans="1:9" x14ac:dyDescent="0.35">
      <c r="A19" t="s">
        <v>141</v>
      </c>
      <c r="B19">
        <v>7.2999999999999995E-2</v>
      </c>
      <c r="C19" s="14">
        <v>0.11</v>
      </c>
      <c r="D19">
        <v>0.70799999999999996</v>
      </c>
      <c r="E19" s="14">
        <v>0.255</v>
      </c>
      <c r="F19">
        <v>0.19600000000000001</v>
      </c>
      <c r="G19" s="14">
        <v>0.224</v>
      </c>
      <c r="H19">
        <v>2.4E-2</v>
      </c>
      <c r="I19" s="14">
        <v>4.9000000000000002E-2</v>
      </c>
    </row>
    <row r="20" spans="1:9" x14ac:dyDescent="0.35">
      <c r="A20" t="s">
        <v>142</v>
      </c>
      <c r="B20">
        <v>7.3999999999999996E-2</v>
      </c>
      <c r="C20" s="14">
        <v>7.8E-2</v>
      </c>
      <c r="D20">
        <v>0.83199999999999996</v>
      </c>
      <c r="E20" s="14">
        <v>0.14599999999999999</v>
      </c>
      <c r="F20">
        <v>5.2999999999999999E-2</v>
      </c>
      <c r="G20" s="14">
        <v>6.4000000000000001E-2</v>
      </c>
      <c r="H20">
        <v>4.1000000000000002E-2</v>
      </c>
      <c r="I20" s="14">
        <v>0.06</v>
      </c>
    </row>
    <row r="21" spans="1:9" x14ac:dyDescent="0.35">
      <c r="A21" t="s">
        <v>122</v>
      </c>
      <c r="B21">
        <v>0.64400000000000002</v>
      </c>
      <c r="C21" s="14">
        <v>6.4000000000000001E-2</v>
      </c>
      <c r="D21">
        <v>4.8000000000000001E-2</v>
      </c>
      <c r="E21" s="14">
        <v>6.6000000000000003E-2</v>
      </c>
      <c r="F21">
        <v>0.28999999999999998</v>
      </c>
      <c r="G21" s="14">
        <v>5.1999999999999998E-2</v>
      </c>
      <c r="H21">
        <v>1.7999999999999999E-2</v>
      </c>
      <c r="I21" s="14">
        <v>2.9000000000000001E-2</v>
      </c>
    </row>
    <row r="22" spans="1:9" x14ac:dyDescent="0.35">
      <c r="A22" t="s">
        <v>123</v>
      </c>
      <c r="B22">
        <v>0.28999999999999998</v>
      </c>
      <c r="C22" s="14">
        <v>0.28899999999999998</v>
      </c>
      <c r="D22">
        <v>0.42699999999999999</v>
      </c>
      <c r="E22" s="14">
        <v>0.36799999999999999</v>
      </c>
      <c r="F22">
        <v>0.111</v>
      </c>
      <c r="G22" s="14">
        <v>0.13500000000000001</v>
      </c>
      <c r="H22">
        <v>0.17100000000000001</v>
      </c>
      <c r="I22" s="14">
        <v>0.22900000000000001</v>
      </c>
    </row>
    <row r="23" spans="1:9" x14ac:dyDescent="0.35">
      <c r="A23" t="s">
        <v>124</v>
      </c>
      <c r="B23">
        <v>0.49299999999999999</v>
      </c>
      <c r="C23" s="14">
        <v>0.33</v>
      </c>
      <c r="D23">
        <v>0.27900000000000003</v>
      </c>
      <c r="E23" s="14">
        <v>0.34499999999999997</v>
      </c>
      <c r="F23">
        <v>0.129</v>
      </c>
      <c r="G23" s="14">
        <v>0.14899999999999999</v>
      </c>
      <c r="H23">
        <v>9.8000000000000004E-2</v>
      </c>
      <c r="I23" s="14">
        <v>0.18</v>
      </c>
    </row>
  </sheetData>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Matt's origional</vt:lpstr>
      <vt:lpstr>testparams</vt:lpstr>
      <vt:lpstr>InsectPlaceholder</vt:lpstr>
      <vt:lpstr>dietmatrix</vt:lpstr>
      <vt:lpstr>New params</vt:lpstr>
      <vt:lpstr>primary producers</vt:lpstr>
      <vt:lpstr>StableIsotopDiets</vt:lpstr>
      <vt:lpstr>Schroeteretal2015</vt:lpstr>
    </vt:vector>
  </TitlesOfParts>
  <Company>Department of the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Matthew J</dc:creator>
  <cp:lastModifiedBy>Hartman, Rosemary@DWR (she/her)</cp:lastModifiedBy>
  <dcterms:created xsi:type="dcterms:W3CDTF">2026-06-24T17:36:59Z</dcterms:created>
  <dcterms:modified xsi:type="dcterms:W3CDTF">2026-09-16T18:39:17Z</dcterms:modified>
</cp:coreProperties>
</file>